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集进度" state="visible" r:id="rId4"/>
    <sheet sheetId="2" name="即将开始" state="visible" r:id="rId5"/>
    <sheet sheetId="3" name="成交标的" state="visible" r:id="rId6"/>
    <sheet sheetId="4" name="流拍标的" state="visible" r:id="rId7"/>
  </sheets>
  <calcPr calcId="171027"/>
</workbook>
</file>

<file path=xl/sharedStrings.xml><?xml version="1.0" encoding="utf-8"?>
<sst xmlns="http://schemas.openxmlformats.org/spreadsheetml/2006/main" count="105" uniqueCount="55">
  <si>
    <t>进度项目</t>
  </si>
  <si>
    <t>当前状态</t>
  </si>
  <si>
    <t>运行状态</t>
  </si>
  <si>
    <t>采集中</t>
  </si>
  <si>
    <t>已保存记录</t>
  </si>
  <si>
    <t>失败记录</t>
  </si>
  <si>
    <t>当前平台</t>
  </si>
  <si>
    <t>京东拍卖</t>
  </si>
  <si>
    <t>当前分类</t>
  </si>
  <si>
    <t>住宅用房</t>
  </si>
  <si>
    <t>即将开始</t>
  </si>
  <si>
    <t>当前标的</t>
  </si>
  <si>
    <t>福州市鼓楼区华大街道湖前路13号（原五四北路西侧）民都商住楼212单身公寓</t>
  </si>
  <si>
    <t>当前链接</t>
  </si>
  <si>
    <t>https://paimai.jd.com/311175718</t>
  </si>
  <si>
    <t>最近保存</t>
  </si>
  <si>
    <t>2026-08-28T05:01:12.558Z</t>
  </si>
  <si>
    <t>恢复说明</t>
  </si>
  <si>
    <t>使用与本次相同的 run 命令重新运行，程序会自动续爬</t>
  </si>
  <si>
    <t>所在省份</t>
  </si>
  <si>
    <t>城市</t>
  </si>
  <si>
    <t>区域</t>
  </si>
  <si>
    <t>标的名称</t>
  </si>
  <si>
    <t>小区名称（仅供参考）</t>
  </si>
  <si>
    <t>标的类型</t>
  </si>
  <si>
    <t>平台</t>
  </si>
  <si>
    <t>发拍次数</t>
  </si>
  <si>
    <t>拍卖时间</t>
  </si>
  <si>
    <t>是否成交</t>
  </si>
  <si>
    <t>处置法院</t>
  </si>
  <si>
    <t>面积/㎡</t>
  </si>
  <si>
    <t>起拍单价-元/㎡</t>
  </si>
  <si>
    <t>起拍价格</t>
  </si>
  <si>
    <t>评估价(万元)</t>
  </si>
  <si>
    <t>折扣率(%)</t>
  </si>
  <si>
    <t>备注</t>
  </si>
  <si>
    <t>网站链接</t>
  </si>
  <si>
    <t>福建省</t>
  </si>
  <si>
    <t>福州市</t>
  </si>
  <si>
    <t>闽侯县</t>
  </si>
  <si>
    <t>甘蔗街道十字街39号闽侯县旧城改造安置房（现:瀛洲花园小区）A6#楼1001单元</t>
  </si>
  <si>
    <t>闽侯县旧城</t>
  </si>
  <si>
    <t>住宅</t>
  </si>
  <si>
    <t>一拍</t>
  </si>
  <si>
    <t>福州市鼓楼区人民法院</t>
  </si>
  <si>
    <t/>
  </si>
  <si>
    <t>https://paimai.jd.com/311177567</t>
  </si>
  <si>
    <t>鼓楼区</t>
  </si>
  <si>
    <t>华大街道湖前路13号民都商住楼212单身公寓</t>
  </si>
  <si>
    <t>民都商住楼</t>
  </si>
  <si>
    <t>成交金额</t>
  </si>
  <si>
    <t>溢价率</t>
  </si>
  <si>
    <t>成交单价</t>
  </si>
  <si>
    <t>竞买记录</t>
  </si>
  <si>
    <t>报名人数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</si>
</sst>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-dd"/>
    <numFmt numFmtId="165" formatCode="#,##0.####"/>
  </numFmts>
  <fonts count="4" x14ac:knownFonts="1">
    <font>
      <color theme="1"/>
      <family val="2"/>
      <scheme val="minor"/>
      <sz val="11"/>
      <name val="Calibri"/>
    </font>
    <font>
      <b/>
      <color rgb="FF1F2937"/>
      <sz val="11"/>
      <name val="宋体"/>
    </font>
    <font>
      <sz val="10"/>
      <name val="宋体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9D18E"/>
      </bottom>
      <diagonal/>
    </border>
    <border>
      <left/>
      <right/>
      <top/>
      <bottom style="thin">
        <color rgb="FFD9EA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4" fontId="2" fillId="0" borderId="2" xfId="0" applyNumberFormat="1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0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80" customWidth="1"/>
  </cols>
  <sheetData>
    <row r="1" ht="28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</v>
      </c>
    </row>
    <row r="4" spans="1:2" x14ac:dyDescent="0.25">
      <c r="A4" t="s">
        <v>5</v>
      </c>
      <c r="B4">
        <v>1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32" customWidth="1"/>
    <col min="18" max="18" width="48" customWidth="1"/>
  </cols>
  <sheetData>
    <row r="1" ht="28" customHeight="1" spans="1:18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7</v>
      </c>
      <c r="H2" s="2" t="s">
        <v>43</v>
      </c>
      <c r="I2" s="3">
        <v>46294.41666666667</v>
      </c>
      <c r="J2" s="2" t="s">
        <v>10</v>
      </c>
      <c r="K2" s="2" t="s">
        <v>44</v>
      </c>
      <c r="L2" s="4">
        <v>135.98</v>
      </c>
      <c r="M2" s="5">
        <f>IF(AND(ISNUMBER(N2),ISNUMBER(L2),L2&gt;0),ROUND(N2/L2,2),"")</f>
        <v>2573.91</v>
      </c>
      <c r="N2" s="6">
        <v>350000</v>
      </c>
      <c r="O2" s="7">
        <v>49.124931</v>
      </c>
      <c r="P2" s="8">
        <f>IF(AND(ISNUMBER(N2),ISNUMBER(O2),O2&gt;0),N2/(O2*10000),"")</f>
        <v>0.7124691941043134</v>
      </c>
      <c r="Q2" s="9" t="s">
        <v>45</v>
      </c>
      <c r="R2" s="9" t="s">
        <v>46</v>
      </c>
    </row>
    <row r="3" spans="1:18" x14ac:dyDescent="0.25">
      <c r="A3" s="2" t="s">
        <v>37</v>
      </c>
      <c r="B3" s="2" t="s">
        <v>38</v>
      </c>
      <c r="C3" s="2" t="s">
        <v>47</v>
      </c>
      <c r="D3" s="2" t="s">
        <v>48</v>
      </c>
      <c r="E3" s="2" t="s">
        <v>49</v>
      </c>
      <c r="F3" s="2" t="s">
        <v>42</v>
      </c>
      <c r="G3" s="2" t="s">
        <v>7</v>
      </c>
      <c r="H3" s="2" t="s">
        <v>43</v>
      </c>
      <c r="I3" s="3">
        <v>46293.41666666667</v>
      </c>
      <c r="J3" s="2" t="s">
        <v>10</v>
      </c>
      <c r="K3" s="2" t="s">
        <v>44</v>
      </c>
      <c r="L3" s="4">
        <v>64.1</v>
      </c>
      <c r="M3" s="5">
        <f>IF(AND(ISNUMBER(N3),ISNUMBER(L3),L3&gt;0),ROUND(N3/L3,2),"")</f>
        <v>7254.29</v>
      </c>
      <c r="N3" s="6">
        <v>465000</v>
      </c>
      <c r="O3" s="7">
        <v>65.96994699999999</v>
      </c>
      <c r="P3" s="8">
        <f>IF(AND(ISNUMBER(N3),ISNUMBER(O3),O3&gt;0),N3/(O3*10000),"")</f>
        <v>0.704866414399272</v>
      </c>
      <c r="Q3" s="9" t="s">
        <v>45</v>
      </c>
      <c r="R3" s="9" t="s">
        <v>14</v>
      </c>
    </row>
  </sheetData>
  <autoFilter ref="A1:R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1" width="12" customWidth="1"/>
    <col min="22" max="22" width="32" customWidth="1"/>
    <col min="23" max="23" width="48" customWidth="1"/>
  </cols>
  <sheetData>
    <row r="1" ht="28" customHeight="1" spans="1:23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35</v>
      </c>
      <c r="W1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8" width="12" customWidth="1"/>
    <col min="19" max="19" width="32" customWidth="1"/>
    <col min="20" max="20" width="48" customWidth="1"/>
  </cols>
  <sheetData>
    <row r="1" ht="28" customHeight="1" spans="1:20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53</v>
      </c>
      <c r="R1" s="1" t="s">
        <v>54</v>
      </c>
      <c r="S1" s="1" t="s">
        <v>35</v>
      </c>
      <c r="T1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采集进度</vt:lpstr>
      <vt:lpstr>即将开始</vt:lpstr>
      <vt:lpstr>成交标的</vt:lpstr>
      <vt:lpstr>流拍标的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fujian-auctions</dc:creator>
  <dc:title/>
  <dc:subject/>
  <dc:description/>
  <cp:keywords/>
  <cp:category/>
  <cp:lastModifiedBy>Unknown</cp:lastModifiedBy>
  <dcterms:created xsi:type="dcterms:W3CDTF">2026-08-28T05:01:12Z</dcterms:created>
  <dcterms:modified xsi:type="dcterms:W3CDTF">2026-08-28T05:01:12Z</dcterms:modified>
</cp:coreProperties>
</file>