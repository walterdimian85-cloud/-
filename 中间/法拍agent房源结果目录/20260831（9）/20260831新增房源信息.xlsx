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dsh\中间\法拍agent房源结果目录\20260831（9）\"/>
    </mc:Choice>
  </mc:AlternateContent>
  <bookViews>
    <workbookView windowHeight="12255" activeTab="2"/>
  </bookViews>
  <sheets>
    <sheet name="即将开始" sheetId="1" r:id="rId1"/>
    <sheet name="成交标的" sheetId="2" r:id="rId2"/>
    <sheet name="流拍标的" sheetId="3" r:id="rId3"/>
  </sheets>
  <definedNames>
    <definedName name="_xlnm._FilterDatabase" localSheetId="0" hidden="1">即将开始!$A$1:$R$12</definedName>
    <definedName name="_xlnm._FilterDatabase" localSheetId="1" hidden="1">成交标的!$A$1:$W$20</definedName>
    <definedName name="_xlnm._FilterDatabase" localSheetId="2" hidden="1">流拍标的!$A$1:$T$56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<sst xmlns="http://schemas.openxmlformats.org/spreadsheetml/2006/main" count="1081" uniqueCount="311">
  <si>
    <t>所在省份</t>
  </si>
  <si>
    <t>城市</t>
  </si>
  <si>
    <t>区域</t>
  </si>
  <si>
    <t>标的名称</t>
  </si>
  <si>
    <t>小区名称（仅供参考）</t>
  </si>
  <si>
    <t>标的类型</t>
  </si>
  <si>
    <t>平台</t>
  </si>
  <si>
    <t>发拍次数</t>
  </si>
  <si>
    <t>拍卖时间</t>
  </si>
  <si>
    <t>是否成交</t>
  </si>
  <si>
    <t>处置法院</t>
  </si>
  <si>
    <t>面积/㎡</t>
  </si>
  <si>
    <t>起拍单价-元/㎡</t>
  </si>
  <si>
    <t>起拍价格</t>
  </si>
  <si>
    <t>评估价(万元)</t>
  </si>
  <si>
    <t>折扣率(%)</t>
  </si>
  <si>
    <t>备注</t>
  </si>
  <si>
    <t>网站链接</t>
  </si>
  <si>
    <t>福建省</t>
  </si>
  <si>
    <t>福州市</t>
  </si>
  <si>
    <t>仓山区</t>
  </si>
  <si>
    <t>城门镇前锦村大沙53号前锦新城（二区）（东部新城9号社会保障房）12#楼105单元</t>
  </si>
  <si>
    <t>前锦新城</t>
  </si>
  <si>
    <t>住宅</t>
  </si>
  <si>
    <t>京东拍卖</t>
  </si>
  <si>
    <t>二拍</t>
  </si>
  <si>
    <t>即将开始</t>
  </si>
  <si>
    <t>福州市鼓楼区人民法院</t>
  </si>
  <si>
    <t/>
  </si>
  <si>
    <t>https://paimai.jd.com/311185531</t>
  </si>
  <si>
    <t>晋安区</t>
  </si>
  <si>
    <t>王庄街道讲堂路18号（福马路南侧与晋安南路东侧交叉处）福晟·钱隆大第6#楼101单元</t>
  </si>
  <si>
    <t>福晟·钱隆大第</t>
  </si>
  <si>
    <t>https://paimai.jd.com/311185640</t>
  </si>
  <si>
    <t>连江县</t>
  </si>
  <si>
    <t>潘渡乡沿江大道1号贵安新天地贵阁苑5幢201单元</t>
  </si>
  <si>
    <t>贵安新天地贵阁苑</t>
  </si>
  <si>
    <t>一拍</t>
  </si>
  <si>
    <t>平潭县人民法院</t>
  </si>
  <si>
    <t>https://paimai.jd.com/311180171</t>
  </si>
  <si>
    <t>敖江镇通港大道9号德力城3幢803办公房产</t>
  </si>
  <si>
    <t>德力城</t>
  </si>
  <si>
    <t>商业</t>
  </si>
  <si>
    <t>变卖</t>
  </si>
  <si>
    <t>福建省福州市中级人民法院</t>
  </si>
  <si>
    <t>https://paimai.jd.com/311185647</t>
  </si>
  <si>
    <t>平潭县</t>
  </si>
  <si>
    <t>中楼乡大中村大中1号潭中佳苑五组团9幢3101室</t>
  </si>
  <si>
    <t>潭中佳苑</t>
  </si>
  <si>
    <t>武汉市江夏区人民法院</t>
  </si>
  <si>
    <t>https://paimai.jd.com/311178866</t>
  </si>
  <si>
    <t>金井镇诚意路3号金海湾1#楼301室</t>
  </si>
  <si>
    <t>金海湾</t>
  </si>
  <si>
    <t>https://paimai.jd.com/311180985</t>
  </si>
  <si>
    <t>北厝镇如意路66号三盛国际海岸（一期）B区6#1911室</t>
  </si>
  <si>
    <t>三盛国际海岸（一期）</t>
  </si>
  <si>
    <t>https://paimai.jd.com/311181572</t>
  </si>
  <si>
    <t>泉州市</t>
  </si>
  <si>
    <t>丰泽区</t>
  </si>
  <si>
    <t>津坂路217号劳教所宿舍2幢201室</t>
  </si>
  <si>
    <t>劳教所宿舍</t>
  </si>
  <si>
    <t>泉州市丰泽区人民法院</t>
  </si>
  <si>
    <t>https://paimai.jd.com/311181781</t>
  </si>
  <si>
    <t>晋江市</t>
  </si>
  <si>
    <t>经济技术开发区清濛园区7-1号地块内福龙商厦商住楼A幢之A2#621室</t>
  </si>
  <si>
    <t>福龙商厦</t>
  </si>
  <si>
    <t>https://paimai.jd.com/311181615</t>
  </si>
  <si>
    <t>鲤城区</t>
  </si>
  <si>
    <t>金山新村南区3幢306室</t>
  </si>
  <si>
    <t>金山新村</t>
  </si>
  <si>
    <t>https://paimai.jd.com/311181801</t>
  </si>
  <si>
    <t>洛江区</t>
  </si>
  <si>
    <t>址于泉州市洛江区双阳街道阳光北路和经五路交叉东北侧大唐世家2号楼2001室</t>
  </si>
  <si>
    <t>大唐世家</t>
  </si>
  <si>
    <t>泉州市洛江区人民法院</t>
  </si>
  <si>
    <t>https://paimai.jd.com/311180125</t>
  </si>
  <si>
    <t>成交金额</t>
  </si>
  <si>
    <t>溢价率</t>
  </si>
  <si>
    <t>成交单价</t>
  </si>
  <si>
    <t>竞买记录</t>
  </si>
  <si>
    <t>报名人数</t>
  </si>
  <si>
    <t>盖山镇濂水路9号闽江世纪城-53地块B区B-21#楼704单元</t>
  </si>
  <si>
    <t>闽江世纪城</t>
  </si>
  <si>
    <t>是</t>
  </si>
  <si>
    <t>https://paimai.jd.com/311013240</t>
  </si>
  <si>
    <t>鼓楼区</t>
  </si>
  <si>
    <t>五凤街道天泉路168号金辉珑岳花园一区C-5#楼1205单元</t>
  </si>
  <si>
    <t>金辉珑岳花园</t>
  </si>
  <si>
    <t>https://paimai.jd.com/311017898</t>
  </si>
  <si>
    <t>洪山镇西江滨大道66号融侨锦江C区4#楼507单元</t>
  </si>
  <si>
    <t>融侨锦江</t>
  </si>
  <si>
    <t>https://paimai.jd.com/310992004</t>
  </si>
  <si>
    <t>鼓西街道达明新村二里8#楼704单元、8#楼1层14附属间</t>
  </si>
  <si>
    <t>达明新村</t>
  </si>
  <si>
    <t>https://paimai.jd.com/311090927</t>
  </si>
  <si>
    <t>鼓山镇秀坂路169号世茂璀璨天成小区（南院）（世茂连潘天城项目南地块）2#楼2306复式单元</t>
  </si>
  <si>
    <t>世茂璀璨天成</t>
  </si>
  <si>
    <t>https://paimai.jd.com/310991967</t>
  </si>
  <si>
    <t>新店镇桂山路100号正荣璟园（正荣府）A8#楼3007复式单元</t>
  </si>
  <si>
    <t>正荣璟园</t>
  </si>
  <si>
    <t>https://paimai.jd.com/311006281</t>
  </si>
  <si>
    <t>新店镇南平东路58号浮村新城（二区）（一期）6#楼904单元</t>
  </si>
  <si>
    <t>浮村新城</t>
  </si>
  <si>
    <t>福州市晋安区人民法院</t>
  </si>
  <si>
    <t>https://paimai.jd.com/311008810</t>
  </si>
  <si>
    <t>新店镇秀峰路219号冠茂芳洲苑3#楼503单元</t>
  </si>
  <si>
    <t>冠茂芳洲苑</t>
  </si>
  <si>
    <t>https://paimai.jd.com/311090288</t>
  </si>
  <si>
    <t>马尾区</t>
  </si>
  <si>
    <t>马尾镇快安路128号名城港湾B地块8#楼1502单元</t>
  </si>
  <si>
    <t>名城港湾</t>
  </si>
  <si>
    <t>福州市台江区人民法院</t>
  </si>
  <si>
    <t>https://paimai.jd.com/311024057</t>
  </si>
  <si>
    <t>闽侯县</t>
  </si>
  <si>
    <t>甘蔗街道昙石山中大道118号新城丽景A区6#楼208单元</t>
  </si>
  <si>
    <t>新城丽景</t>
  </si>
  <si>
    <t>https://paimai.jd.com/311006085</t>
  </si>
  <si>
    <t>南屿镇乌龙江南大道58-1号南屿滨江城二期（现：阳光城翡丽湾小区）102#楼2701单元</t>
  </si>
  <si>
    <t>阳光城翡丽湾小区</t>
  </si>
  <si>
    <t>https://paimai.jd.com/311090816</t>
  </si>
  <si>
    <t>潭城镇红山居委会荷花庄</t>
  </si>
  <si>
    <t>商住小区</t>
  </si>
  <si>
    <t>https://paimai.jd.com/311030766</t>
  </si>
  <si>
    <t>竹屿湖中路12号正荣·悦湖湾（二期）7幢605室</t>
  </si>
  <si>
    <t>正荣·悦湖湾</t>
  </si>
  <si>
    <t>https://paimai.jd.com/311002768</t>
  </si>
  <si>
    <t>永泰县</t>
  </si>
  <si>
    <t>葛岭镇赤壁村62号万科大樟溪岸二期B区29号楼119复式单元</t>
  </si>
  <si>
    <t>万科大樟溪岸</t>
  </si>
  <si>
    <t>https://paimai.jd.com/310816859</t>
  </si>
  <si>
    <t>港湾街988号天玺湾一期1幢2805室的房产</t>
  </si>
  <si>
    <t>天玺湾</t>
  </si>
  <si>
    <t>南安市人民法院</t>
  </si>
  <si>
    <t>https://paimai.jd.com/311015364</t>
  </si>
  <si>
    <t>万虹路29号南益清源春晓小区7幢1402室的房产</t>
  </si>
  <si>
    <t>南益清源春晓</t>
  </si>
  <si>
    <t>https://paimai.jd.com/311098623</t>
  </si>
  <si>
    <t>南安市</t>
  </si>
  <si>
    <t>洪濑镇溪霞村明发商业中心3号楼11-12层1105室的房产</t>
  </si>
  <si>
    <t>明发商业中心</t>
  </si>
  <si>
    <t>https://paimai.jd.com/311024380</t>
  </si>
  <si>
    <t>美林办事处南美南金路万星城市广场11号楼23层2302室的房产</t>
  </si>
  <si>
    <t>万星城市广场</t>
  </si>
  <si>
    <t>需打开网页评估报告提取面积</t>
  </si>
  <si>
    <t>https://paimai.jd.com/311094548</t>
  </si>
  <si>
    <t>水头镇联合一路1号海峡1号10号楼13层1305室的房产</t>
  </si>
  <si>
    <t>海峡1号</t>
  </si>
  <si>
    <t>https://paimai.jd.com/311018072</t>
  </si>
  <si>
    <t>盖山镇天水路北侧利嘉海峡商业城（一、二区）12#馆地下2层165店面</t>
  </si>
  <si>
    <t>利嘉海峡商业城</t>
  </si>
  <si>
    <t>否</t>
  </si>
  <si>
    <t>https://paimai.jd.com/310831941</t>
  </si>
  <si>
    <t>寿山乡岭头村258号华云山庄A21#楼110复式单元</t>
  </si>
  <si>
    <t>华云山庄</t>
  </si>
  <si>
    <t>https://paimai.jd.com/311024068</t>
  </si>
  <si>
    <t>新店镇秀峰路413号三木秀峰家园14#楼703单元</t>
  </si>
  <si>
    <t>三木秀峰家园</t>
  </si>
  <si>
    <t>https://paimai.jd.com/311024150</t>
  </si>
  <si>
    <t>新店镇真珠谷路117号磐石新城（二区）（原琴亭八期）6#楼2206单元</t>
  </si>
  <si>
    <t>磐石新城</t>
  </si>
  <si>
    <t>https://paimai.jd.com/311009743</t>
  </si>
  <si>
    <t>马尾镇江滨东大道68-1号蓝波湾2#楼14层17、18、19、20公寓式办公</t>
  </si>
  <si>
    <t>蓝波湾</t>
  </si>
  <si>
    <t>未找到评估报告</t>
  </si>
  <si>
    <t>https://paimai.jd.com/311024047</t>
  </si>
  <si>
    <t>琅岐镇香海路1号（原琅岐国际旅游度假区雁行江北岸）香海新城A区16#楼103单元</t>
  </si>
  <si>
    <t>香海新城</t>
  </si>
  <si>
    <t>https://paimai.jd.com/311024198</t>
  </si>
  <si>
    <t>琅岐镇芦沙路2号三盛盛欣苑（福州未来城（二期））25#楼305复式单元</t>
  </si>
  <si>
    <t>三盛盛欣苑</t>
  </si>
  <si>
    <t>https://paimai.jd.com/311006351</t>
  </si>
  <si>
    <t>上街镇新保路13号群升江山城（三期）32#楼105单元</t>
  </si>
  <si>
    <t>群升江山城</t>
  </si>
  <si>
    <t>https://paimai.jd.com/311024355</t>
  </si>
  <si>
    <t>上街镇国宾大道338号英泰第一城B区12#楼205单元</t>
  </si>
  <si>
    <t>英泰第一城</t>
  </si>
  <si>
    <t>https://paimai.jd.com/310829999</t>
  </si>
  <si>
    <t>南通镇福通路85号中海凤凰熙岸（现：中海凤凰熙岸小区）5#楼605单元</t>
  </si>
  <si>
    <t>中海凤凰熙岸小区</t>
  </si>
  <si>
    <t>https://paimai.jd.com/311009270</t>
  </si>
  <si>
    <t>上街镇工贸路189号丹宁顿小镇C区7#楼108单元</t>
  </si>
  <si>
    <t>丹宁顿小镇</t>
  </si>
  <si>
    <t>东莞市第二人民法院</t>
  </si>
  <si>
    <t>https://paimai.jd.com/311082019</t>
  </si>
  <si>
    <t>岚城乡上楼村366号融信大卫城A区A6#2202室</t>
  </si>
  <si>
    <t>融信大卫城</t>
  </si>
  <si>
    <t>https://paimai.jd.com/311008399</t>
  </si>
  <si>
    <t>北厝镇顺意路1号平潭海峡如意城G005地块一期10#05商铺</t>
  </si>
  <si>
    <t>平潭海峡如意城</t>
  </si>
  <si>
    <t>https://paimai.jd.com/311009266</t>
  </si>
  <si>
    <t>北厝镇顺意路1号平潭海峡如意城G005地块一期10#06商铺</t>
  </si>
  <si>
    <t>https://paimai.jd.com/311009280</t>
  </si>
  <si>
    <t>潭城镇东门庄89号滨海新苑A幢205室</t>
  </si>
  <si>
    <t>滨海新苑</t>
  </si>
  <si>
    <t>https://paimai.jd.com/311009974</t>
  </si>
  <si>
    <t>台江区</t>
  </si>
  <si>
    <t>鳌峰街道江滨中大道378号圣淘沙花园（现海润花园）25#楼1002单元不动产（含装修）</t>
  </si>
  <si>
    <t>圣淘沙花园</t>
  </si>
  <si>
    <t>江苏省扬州市中级人民法院</t>
  </si>
  <si>
    <t>https://paimai.jd.com/311017387</t>
  </si>
  <si>
    <t>仁风新村30幢104及储藏间</t>
  </si>
  <si>
    <t>仁风新村</t>
  </si>
  <si>
    <t>https://paimai.jd.com/311017891</t>
  </si>
  <si>
    <t>田淮街70号毅达新村8幢703室、8幢C014室储藏间及室内家具家电</t>
  </si>
  <si>
    <t>毅达新村</t>
  </si>
  <si>
    <t>https://paimai.jd.com/311017902</t>
  </si>
  <si>
    <t>东海滨城东海大街南侧东海湾•怡园2号楼B1007的房产</t>
  </si>
  <si>
    <t>东海湾</t>
  </si>
  <si>
    <t>https://paimai.jd.com/311029181</t>
  </si>
  <si>
    <t>中骏国金中心6号楼店面48</t>
  </si>
  <si>
    <t>中骏国金中心</t>
  </si>
  <si>
    <t>https://paimai.jd.com/311037346</t>
  </si>
  <si>
    <t>美仙路55号毓才花苑二期10幢1103室</t>
  </si>
  <si>
    <t>毓才花苑</t>
  </si>
  <si>
    <t>https://paimai.jd.com/310829795</t>
  </si>
  <si>
    <t>美仙路55路毓才花苑二期9幢305室</t>
  </si>
  <si>
    <t>https://paimai.jd.com/310829798</t>
  </si>
  <si>
    <t>美仙路55路毓才花苑二期9幢605室</t>
  </si>
  <si>
    <t>https://paimai.jd.com/310829808</t>
  </si>
  <si>
    <t>城东街道庄任社区海城花苑4、5号楼4-3204的房产</t>
  </si>
  <si>
    <t>海城花苑</t>
  </si>
  <si>
    <t>https://paimai.jd.com/311018607</t>
  </si>
  <si>
    <t>惠安县</t>
  </si>
  <si>
    <t>螺阳镇世纪大道1692号广海新景悦府6幢103室</t>
  </si>
  <si>
    <t>广海新景悦府</t>
  </si>
  <si>
    <t>https://paimai.jd.com/311017752</t>
  </si>
  <si>
    <t>张坂镇泉州世茂蓝色海湾S2013-21号地块项目39号楼39-05</t>
  </si>
  <si>
    <t>世茂蓝色海湾</t>
  </si>
  <si>
    <t>https://paimai.jd.com/311030169</t>
  </si>
  <si>
    <t>址于泉州台商投资区百崎乡星河城（B地块）7号楼302房产</t>
  </si>
  <si>
    <t>星河城</t>
  </si>
  <si>
    <t>https://paimai.jd.com/311105702</t>
  </si>
  <si>
    <t>台商投资区东园镇中海学府世家18号楼1001室</t>
  </si>
  <si>
    <t>中海学府世家</t>
  </si>
  <si>
    <t>https://paimai.jd.com/310829769</t>
  </si>
  <si>
    <t>台商投资区张坂镇泉州保利时光印象15#1603室</t>
  </si>
  <si>
    <t>泉州保利时光印象</t>
  </si>
  <si>
    <t>https://paimai.jd.com/310829793</t>
  </si>
  <si>
    <t>梅岭街道梅岭路128号中航城·天悦15幢204室</t>
  </si>
  <si>
    <t>中航城</t>
  </si>
  <si>
    <t>https://paimai.jd.com/310829797</t>
  </si>
  <si>
    <t>梅岭街道人工湖片区晋江世茂人工湖项目K5地块A-5幢4306室</t>
  </si>
  <si>
    <t>晋江世茂人工湖项目</t>
  </si>
  <si>
    <t>https://paimai.jd.com/310829811</t>
  </si>
  <si>
    <t>址于晋江市池店镇兴霞路百捷中央公园C区3#-601室住宅</t>
  </si>
  <si>
    <t>百捷·中央公园</t>
  </si>
  <si>
    <t>https://paimai.jd.com/311098838</t>
  </si>
  <si>
    <t>兴贤路明光花园9号楼1805</t>
  </si>
  <si>
    <t>明光花园</t>
  </si>
  <si>
    <t>https://paimai.jd.com/311036920</t>
  </si>
  <si>
    <t>兴贤路435号明光花园8幢1梯1701室</t>
  </si>
  <si>
    <t>https://paimai.jd.com/310829807</t>
  </si>
  <si>
    <t>址于泉州市鲤城区温陵北路333号铭湖花苑2幢2梯804室</t>
  </si>
  <si>
    <t>铭湖花苑</t>
  </si>
  <si>
    <t>https://paimai.jd.com/311098843</t>
  </si>
  <si>
    <t>宏益国际城·江山丽园一期A区1号楼601室</t>
  </si>
  <si>
    <t>宏益国际城·江山丽园</t>
  </si>
  <si>
    <t>https://paimai.jd.com/311030263</t>
  </si>
  <si>
    <t>双阳街道阳光北路和经五路交叉东北侧大唐世家11号楼2501</t>
  </si>
  <si>
    <t>https://paimai.jd.com/311030472</t>
  </si>
  <si>
    <t>址于泉州市洛江区万安中心城区万荣街与安平路交叉路口东北侧钻石·美尔奇小区2号楼1801室房产及室内物品</t>
  </si>
  <si>
    <t>钻石·美尔奇小区</t>
  </si>
  <si>
    <t>https://paimai.jd.com/311105664</t>
  </si>
  <si>
    <t>址于泉州市洛江区万安街道后埭社区、杏宅社区荣嘉江滨公馆6号楼1806住宅</t>
  </si>
  <si>
    <t>荣嘉江滨公馆</t>
  </si>
  <si>
    <t>https://paimai.jd.com/311098851</t>
  </si>
  <si>
    <t>万虹路105绿色人家美尔奇3幢2单元911室的房产</t>
  </si>
  <si>
    <t>绿色人家美尔奇</t>
  </si>
  <si>
    <t>https://paimai.jd.com/311018708</t>
  </si>
  <si>
    <t>址于泉州市洛江区罗溪镇双柏镇36号豪景花苑2栋2梯1004室</t>
  </si>
  <si>
    <t>豪景花苑</t>
  </si>
  <si>
    <t>https://paimai.jd.com/311019085</t>
  </si>
  <si>
    <t>址于泉州市洛江区双阳街道祥光花苑四、五期5#楼1005住宅</t>
  </si>
  <si>
    <t>祥光花苑</t>
  </si>
  <si>
    <t>https://paimai.jd.com/311019108</t>
  </si>
  <si>
    <t>柳城办事处普莲路新园商住楼1幢507室及屋内物品</t>
  </si>
  <si>
    <t>新园商住楼</t>
  </si>
  <si>
    <t>https://paimai.jd.com/311017852</t>
  </si>
  <si>
    <t>水头镇滨海大道1号华封花园10号楼20层2001的房产</t>
  </si>
  <si>
    <t>华封花园</t>
  </si>
  <si>
    <t>https://paimai.jd.com/311100488</t>
  </si>
  <si>
    <t>美林街道洋美村中骏•云景山庄2号楼2层205室的房产</t>
  </si>
  <si>
    <t>中骏·云景山庄</t>
  </si>
  <si>
    <t>https://paimai.jd.com/311094105</t>
  </si>
  <si>
    <t>柳城街道金街社区颖川路7号柳南小区C区C3幢6-7层6-702室的房产及室内物品</t>
  </si>
  <si>
    <t>柳南小区</t>
  </si>
  <si>
    <t>https://paimai.jd.com/311098008</t>
  </si>
  <si>
    <t>省新镇西埔村茂盛路766号源昌中央公园3号楼2701室、源昌中央公园一期地下室552号车位的不动产</t>
  </si>
  <si>
    <t>源昌中央公园</t>
  </si>
  <si>
    <t>车位</t>
  </si>
  <si>
    <t>https://paimai.jd.com/311098582</t>
  </si>
  <si>
    <t>梅山镇杨塘垅路90号7层702室</t>
  </si>
  <si>
    <t>杨塘垅路90号</t>
  </si>
  <si>
    <t>福建省泉州市中级人民法院</t>
  </si>
  <si>
    <t>https://paimai.jd.com/311013788</t>
  </si>
  <si>
    <t>石狮市</t>
  </si>
  <si>
    <t>香江路900号清华公寓701室及室内家具家电</t>
  </si>
  <si>
    <t>清华公寓</t>
  </si>
  <si>
    <t>https://paimai.jd.com/311037267</t>
  </si>
  <si>
    <t>香江路900号清华公寓601室及室内家具</t>
  </si>
  <si>
    <t>https://paimai.jd.com/311037268</t>
  </si>
  <si>
    <t>香江路900号清华公寓501室及室内家具家电</t>
  </si>
  <si>
    <t>https://paimai.jd.com/311037274</t>
  </si>
  <si>
    <t>香江路900号清华公寓401室及室内家具家电</t>
  </si>
  <si>
    <t>https://paimai.jd.com/311037286</t>
  </si>
  <si>
    <t>香江路900号清华公寓301室及室内家具</t>
  </si>
  <si>
    <t>https://paimai.jd.com/311037289</t>
  </si>
  <si>
    <t>香江路900号清华公寓801室及室内家具家电</t>
  </si>
  <si>
    <t>https://paimai.jd.com/311037323</t>
  </si>
  <si>
    <t>香江路900号清华公寓201室</t>
  </si>
  <si>
    <t>https://paimai.jd.com/311037351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</si>
</sst>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
    <numFmt numFmtId="177" formatCode="#,##0.####"/>
  </numFmts>
  <fonts count="24">
    <font>
      <sz val="11"/>
      <color theme="1"/>
      <name val="宋体"/>
      <charset val="134"/>
      <scheme val="minor"/>
    </font>
    <font>
      <b/>
      <sz val="11"/>
      <color rgb="FF1F2937"/>
      <name val="宋体"/>
      <charset val="134"/>
    </font>
    <font>
      <sz val="10"/>
      <name val="宋体"/>
      <charset val="134"/>
    </font>
    <font>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A9D18E"/>
      </bottom>
      <diagonal/>
    </border>
    <border>
      <left/>
      <right/>
      <top/>
      <bottom style="thin">
        <color rgb="FFD9EAD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176" fontId="3" fillId="0" borderId="2" xfId="0" applyNumberFormat="1" applyFont="1" applyBorder="1" applyAlignment="1">
      <alignment vertical="center"/>
    </xf>
    <xf numFmtId="2" fontId="3" fillId="0" borderId="2" xfId="0" applyNumberFormat="1" applyFont="1" applyBorder="1" applyAlignment="1">
      <alignment vertical="center"/>
    </xf>
    <xf numFmtId="4" fontId="2" fillId="0" borderId="2" xfId="0" applyNumberFormat="1" applyFont="1" applyBorder="1" applyAlignment="1">
      <alignment vertical="center"/>
    </xf>
    <xf numFmtId="3" fontId="3" fillId="0" borderId="2" xfId="0" applyNumberFormat="1" applyFont="1" applyBorder="1" applyAlignment="1">
      <alignment vertical="center"/>
    </xf>
    <xf numFmtId="177" fontId="3" fillId="0" borderId="2" xfId="0" applyNumberFormat="1" applyFont="1" applyBorder="1" applyAlignment="1">
      <alignment vertical="center"/>
    </xf>
    <xf numFmtId="10" fontId="2" fillId="0" borderId="2" xfId="0" applyNumberFormat="1" applyFont="1" applyBorder="1" applyAlignment="1">
      <alignment vertical="center"/>
    </xf>
    <xf numFmtId="0" fontId="3" fillId="0" borderId="2"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
  <sheetViews>
    <sheetView showGridLines="0" workbookViewId="0">
      <pane xSplit="3" ySplit="1" topLeftCell="D2" activePane="bottomRight" state="frozen"/>
      <selection/>
      <selection pane="topRight"/>
      <selection pane="bottomLeft"/>
      <selection pane="bottomRight" activeCell="A1" sqref="A1"/>
    </sheetView>
  </sheetViews>
  <sheetFormatPr defaultColWidth="9" defaultRowHeight="13.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32" customWidth="1"/>
    <col min="18" max="18" width="48" customWidth="1"/>
  </cols>
  <sheetData>
    <row r="1" ht="28"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3">
        <v>46289.4166666667</v>
      </c>
      <c r="J2" s="2" t="s">
        <v>26</v>
      </c>
      <c r="K2" s="2" t="s">
        <v>27</v>
      </c>
      <c r="L2" s="4">
        <v>91.96</v>
      </c>
      <c r="M2" s="5">
        <f t="shared" ref="M2:M12" si="0">IF(AND(ISNUMBER(N2),ISNUMBER(L2),L2&gt;0),ROUND(N2/L2,2),"")</f>
        <v>4768.38</v>
      </c>
      <c r="N2" s="6">
        <v>438500</v>
      </c>
      <c r="O2" s="7">
        <v>78.166</v>
      </c>
      <c r="P2" s="8">
        <f t="shared" ref="P2:P12" si="1">IF(AND(ISNUMBER(N2),ISNUMBER(O2),O2&gt;0),N2/(O2*10000),"")</f>
        <v>0.56098559475987</v>
      </c>
      <c r="Q2" s="9" t="s">
        <v>28</v>
      </c>
      <c r="R2" s="9" t="s">
        <v>29</v>
      </c>
    </row>
    <row r="3" spans="1:18">
      <c r="A3" s="2" t="s">
        <v>18</v>
      </c>
      <c r="B3" s="2" t="s">
        <v>19</v>
      </c>
      <c r="C3" s="2" t="s">
        <v>30</v>
      </c>
      <c r="D3" s="2" t="s">
        <v>31</v>
      </c>
      <c r="E3" s="2" t="s">
        <v>32</v>
      </c>
      <c r="F3" s="2" t="s">
        <v>23</v>
      </c>
      <c r="G3" s="2" t="s">
        <v>24</v>
      </c>
      <c r="H3" s="2" t="s">
        <v>25</v>
      </c>
      <c r="I3" s="3">
        <v>46290.4166666667</v>
      </c>
      <c r="J3" s="2" t="s">
        <v>26</v>
      </c>
      <c r="K3" s="2" t="s">
        <v>27</v>
      </c>
      <c r="L3" s="4">
        <v>167.38</v>
      </c>
      <c r="M3" s="5">
        <f t="shared" si="0"/>
        <v>14338.63</v>
      </c>
      <c r="N3" s="6">
        <v>2400000</v>
      </c>
      <c r="O3" s="7">
        <v>427.662402</v>
      </c>
      <c r="P3" s="8">
        <f t="shared" si="1"/>
        <v>0.561190319461377</v>
      </c>
      <c r="Q3" s="9" t="s">
        <v>28</v>
      </c>
      <c r="R3" s="9" t="s">
        <v>33</v>
      </c>
    </row>
    <row r="4" spans="1:18">
      <c r="A4" s="2" t="s">
        <v>18</v>
      </c>
      <c r="B4" s="2" t="s">
        <v>19</v>
      </c>
      <c r="C4" s="2" t="s">
        <v>34</v>
      </c>
      <c r="D4" s="2" t="s">
        <v>35</v>
      </c>
      <c r="E4" s="2" t="s">
        <v>36</v>
      </c>
      <c r="F4" s="2" t="s">
        <v>23</v>
      </c>
      <c r="G4" s="2" t="s">
        <v>24</v>
      </c>
      <c r="H4" s="2" t="s">
        <v>37</v>
      </c>
      <c r="I4" s="3">
        <v>46294.4166666667</v>
      </c>
      <c r="J4" s="2" t="s">
        <v>26</v>
      </c>
      <c r="K4" s="2" t="s">
        <v>38</v>
      </c>
      <c r="L4" s="4">
        <v>129.42</v>
      </c>
      <c r="M4" s="5">
        <f t="shared" si="0"/>
        <v>2599.76</v>
      </c>
      <c r="N4" s="6">
        <v>336461</v>
      </c>
      <c r="O4" s="7">
        <v>42.057706</v>
      </c>
      <c r="P4" s="8">
        <f t="shared" si="1"/>
        <v>0.799998459259761</v>
      </c>
      <c r="Q4" s="9" t="s">
        <v>28</v>
      </c>
      <c r="R4" s="9" t="s">
        <v>39</v>
      </c>
    </row>
    <row r="5" spans="1:18">
      <c r="A5" s="2" t="s">
        <v>18</v>
      </c>
      <c r="B5" s="2" t="s">
        <v>19</v>
      </c>
      <c r="C5" s="2" t="s">
        <v>34</v>
      </c>
      <c r="D5" s="2" t="s">
        <v>40</v>
      </c>
      <c r="E5" s="2" t="s">
        <v>41</v>
      </c>
      <c r="F5" s="2" t="s">
        <v>42</v>
      </c>
      <c r="G5" s="2" t="s">
        <v>24</v>
      </c>
      <c r="H5" s="2" t="s">
        <v>43</v>
      </c>
      <c r="I5" s="3">
        <v>46281.4166666667</v>
      </c>
      <c r="J5" s="2" t="s">
        <v>26</v>
      </c>
      <c r="K5" s="2" t="s">
        <v>44</v>
      </c>
      <c r="L5" s="4">
        <v>92.67</v>
      </c>
      <c r="M5" s="5">
        <f t="shared" si="0"/>
        <v>5906.97</v>
      </c>
      <c r="N5" s="6">
        <v>547399</v>
      </c>
      <c r="O5" s="7">
        <v>60.8221</v>
      </c>
      <c r="P5" s="8">
        <f t="shared" si="1"/>
        <v>0.900000164413922</v>
      </c>
      <c r="Q5" s="9" t="s">
        <v>28</v>
      </c>
      <c r="R5" s="9" t="s">
        <v>45</v>
      </c>
    </row>
    <row r="6" spans="1:18">
      <c r="A6" s="2" t="s">
        <v>18</v>
      </c>
      <c r="B6" s="2" t="s">
        <v>19</v>
      </c>
      <c r="C6" s="2" t="s">
        <v>46</v>
      </c>
      <c r="D6" s="2" t="s">
        <v>47</v>
      </c>
      <c r="E6" s="2" t="s">
        <v>48</v>
      </c>
      <c r="F6" s="2" t="s">
        <v>23</v>
      </c>
      <c r="G6" s="2" t="s">
        <v>24</v>
      </c>
      <c r="H6" s="2" t="s">
        <v>37</v>
      </c>
      <c r="I6" s="3">
        <v>46294.4166666667</v>
      </c>
      <c r="J6" s="2" t="s">
        <v>26</v>
      </c>
      <c r="K6" s="2" t="s">
        <v>49</v>
      </c>
      <c r="L6" s="4">
        <v>131.32</v>
      </c>
      <c r="M6" s="5">
        <f t="shared" si="0"/>
        <v>3357.9</v>
      </c>
      <c r="N6" s="6">
        <v>440960</v>
      </c>
      <c r="O6" s="7">
        <v>62.9942</v>
      </c>
      <c r="P6" s="8">
        <f t="shared" si="1"/>
        <v>0.70000095246864</v>
      </c>
      <c r="Q6" s="9" t="s">
        <v>28</v>
      </c>
      <c r="R6" s="9" t="s">
        <v>50</v>
      </c>
    </row>
    <row r="7" spans="1:18">
      <c r="A7" s="2" t="s">
        <v>18</v>
      </c>
      <c r="B7" s="2" t="s">
        <v>19</v>
      </c>
      <c r="C7" s="2" t="s">
        <v>46</v>
      </c>
      <c r="D7" s="2" t="s">
        <v>51</v>
      </c>
      <c r="E7" s="2" t="s">
        <v>52</v>
      </c>
      <c r="F7" s="2" t="s">
        <v>23</v>
      </c>
      <c r="G7" s="2" t="s">
        <v>24</v>
      </c>
      <c r="H7" s="2" t="s">
        <v>37</v>
      </c>
      <c r="I7" s="3">
        <v>46293.4166666667</v>
      </c>
      <c r="J7" s="2" t="s">
        <v>26</v>
      </c>
      <c r="K7" s="2" t="s">
        <v>38</v>
      </c>
      <c r="L7" s="4">
        <v>120.96</v>
      </c>
      <c r="M7" s="5">
        <f t="shared" si="0"/>
        <v>4489.65</v>
      </c>
      <c r="N7" s="6">
        <v>543068</v>
      </c>
      <c r="O7" s="7">
        <v>67.883592</v>
      </c>
      <c r="P7" s="8">
        <f t="shared" si="1"/>
        <v>0.799998915791021</v>
      </c>
      <c r="Q7" s="9" t="s">
        <v>28</v>
      </c>
      <c r="R7" s="9" t="s">
        <v>53</v>
      </c>
    </row>
    <row r="8" spans="1:18">
      <c r="A8" s="2" t="s">
        <v>18</v>
      </c>
      <c r="B8" s="2" t="s">
        <v>19</v>
      </c>
      <c r="C8" s="2" t="s">
        <v>46</v>
      </c>
      <c r="D8" s="2" t="s">
        <v>54</v>
      </c>
      <c r="E8" s="2" t="s">
        <v>55</v>
      </c>
      <c r="F8" s="2" t="s">
        <v>23</v>
      </c>
      <c r="G8" s="2" t="s">
        <v>24</v>
      </c>
      <c r="H8" s="2" t="s">
        <v>37</v>
      </c>
      <c r="I8" s="3">
        <v>46293.4166666667</v>
      </c>
      <c r="J8" s="2" t="s">
        <v>26</v>
      </c>
      <c r="K8" s="2" t="s">
        <v>38</v>
      </c>
      <c r="L8" s="4">
        <v>122.03</v>
      </c>
      <c r="M8" s="5">
        <f t="shared" si="0"/>
        <v>5716.42</v>
      </c>
      <c r="N8" s="6">
        <v>697575</v>
      </c>
      <c r="O8" s="7">
        <v>69.757573</v>
      </c>
      <c r="P8" s="8">
        <f t="shared" si="1"/>
        <v>0.999998953518638</v>
      </c>
      <c r="Q8" s="9" t="s">
        <v>28</v>
      </c>
      <c r="R8" s="9" t="s">
        <v>56</v>
      </c>
    </row>
    <row r="9" spans="1:18">
      <c r="A9" s="2" t="s">
        <v>18</v>
      </c>
      <c r="B9" s="2" t="s">
        <v>57</v>
      </c>
      <c r="C9" s="2" t="s">
        <v>58</v>
      </c>
      <c r="D9" s="2" t="s">
        <v>59</v>
      </c>
      <c r="E9" s="2" t="s">
        <v>60</v>
      </c>
      <c r="F9" s="2" t="s">
        <v>23</v>
      </c>
      <c r="G9" s="2" t="s">
        <v>24</v>
      </c>
      <c r="H9" s="2" t="s">
        <v>25</v>
      </c>
      <c r="I9" s="3">
        <v>46279.4166666667</v>
      </c>
      <c r="J9" s="2" t="s">
        <v>26</v>
      </c>
      <c r="K9" s="2" t="s">
        <v>61</v>
      </c>
      <c r="L9" s="4">
        <v>182.7</v>
      </c>
      <c r="M9" s="5">
        <f t="shared" si="0"/>
        <v>7958.4</v>
      </c>
      <c r="N9" s="6">
        <v>1454000</v>
      </c>
      <c r="O9" s="7">
        <v>227.17</v>
      </c>
      <c r="P9" s="8">
        <f t="shared" si="1"/>
        <v>0.640049302284633</v>
      </c>
      <c r="Q9" s="9" t="s">
        <v>28</v>
      </c>
      <c r="R9" s="9" t="s">
        <v>62</v>
      </c>
    </row>
    <row r="10" spans="1:18">
      <c r="A10" s="2" t="s">
        <v>18</v>
      </c>
      <c r="B10" s="2" t="s">
        <v>57</v>
      </c>
      <c r="C10" s="2" t="s">
        <v>63</v>
      </c>
      <c r="D10" s="2" t="s">
        <v>64</v>
      </c>
      <c r="E10" s="2" t="s">
        <v>65</v>
      </c>
      <c r="F10" s="2" t="s">
        <v>23</v>
      </c>
      <c r="G10" s="2" t="s">
        <v>24</v>
      </c>
      <c r="H10" s="2" t="s">
        <v>25</v>
      </c>
      <c r="I10" s="3">
        <v>46279.4166666667</v>
      </c>
      <c r="J10" s="2" t="s">
        <v>26</v>
      </c>
      <c r="K10" s="2" t="s">
        <v>61</v>
      </c>
      <c r="L10" s="4">
        <v>40.19</v>
      </c>
      <c r="M10" s="5">
        <f t="shared" si="0"/>
        <v>4080.62</v>
      </c>
      <c r="N10" s="6">
        <v>164000</v>
      </c>
      <c r="O10" s="7">
        <v>25.59</v>
      </c>
      <c r="P10" s="8">
        <f t="shared" si="1"/>
        <v>0.640875341930442</v>
      </c>
      <c r="Q10" s="9" t="s">
        <v>28</v>
      </c>
      <c r="R10" s="9" t="s">
        <v>66</v>
      </c>
    </row>
    <row r="11" spans="1:18">
      <c r="A11" s="2" t="s">
        <v>18</v>
      </c>
      <c r="B11" s="2" t="s">
        <v>57</v>
      </c>
      <c r="C11" s="2" t="s">
        <v>67</v>
      </c>
      <c r="D11" s="2" t="s">
        <v>68</v>
      </c>
      <c r="E11" s="2" t="s">
        <v>69</v>
      </c>
      <c r="F11" s="2" t="s">
        <v>23</v>
      </c>
      <c r="G11" s="2" t="s">
        <v>24</v>
      </c>
      <c r="H11" s="2" t="s">
        <v>25</v>
      </c>
      <c r="I11" s="3">
        <v>46279.4166666667</v>
      </c>
      <c r="J11" s="2" t="s">
        <v>26</v>
      </c>
      <c r="K11" s="2" t="s">
        <v>61</v>
      </c>
      <c r="L11" s="4">
        <v>83.7</v>
      </c>
      <c r="M11" s="5">
        <f t="shared" si="0"/>
        <v>7945.33</v>
      </c>
      <c r="N11" s="6">
        <v>665024</v>
      </c>
      <c r="O11" s="7">
        <v>103.91</v>
      </c>
      <c r="P11" s="8">
        <f t="shared" si="1"/>
        <v>0.64</v>
      </c>
      <c r="Q11" s="9" t="s">
        <v>28</v>
      </c>
      <c r="R11" s="9" t="s">
        <v>70</v>
      </c>
    </row>
    <row r="12" spans="1:18">
      <c r="A12" s="2" t="s">
        <v>18</v>
      </c>
      <c r="B12" s="2" t="s">
        <v>57</v>
      </c>
      <c r="C12" s="2" t="s">
        <v>71</v>
      </c>
      <c r="D12" s="2" t="s">
        <v>72</v>
      </c>
      <c r="E12" s="2" t="s">
        <v>73</v>
      </c>
      <c r="F12" s="2" t="s">
        <v>23</v>
      </c>
      <c r="G12" s="2" t="s">
        <v>24</v>
      </c>
      <c r="H12" s="2" t="s">
        <v>37</v>
      </c>
      <c r="I12" s="3">
        <v>46293.4166666667</v>
      </c>
      <c r="J12" s="2" t="s">
        <v>26</v>
      </c>
      <c r="K12" s="2" t="s">
        <v>74</v>
      </c>
      <c r="L12" s="4">
        <v>105.88</v>
      </c>
      <c r="M12" s="5">
        <f t="shared" si="0"/>
        <v>5354.77</v>
      </c>
      <c r="N12" s="6">
        <v>566963.49</v>
      </c>
      <c r="O12" s="7">
        <v>80.994784</v>
      </c>
      <c r="P12" s="8">
        <f t="shared" si="1"/>
        <v>0.700000002469295</v>
      </c>
      <c r="Q12" s="9" t="s">
        <v>28</v>
      </c>
      <c r="R12" s="9" t="s">
        <v>75</v>
      </c>
    </row>
  </sheetData>
  <autoFilter xmlns:etc="http://www.wps.cn/officeDocument/2017/etCustomData" ref="A1:R12" etc:filterBottomFollowUsedRange="0">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0"/>
  <sheetViews>
    <sheetView showGridLines="0" workbookViewId="0">
      <pane xSplit="3" ySplit="1" topLeftCell="E2" activePane="bottomRight" state="frozen"/>
      <selection/>
      <selection pane="topRight"/>
      <selection pane="bottomLeft"/>
      <selection pane="bottomRight" activeCell="V27" sqref="V27"/>
    </sheetView>
  </sheetViews>
  <sheetFormatPr defaultColWidth="9" defaultRowHeight="13.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14" customWidth="1"/>
    <col min="18" max="18" width="12" customWidth="1"/>
    <col min="19" max="19" width="14" customWidth="1"/>
    <col min="20" max="21" width="12" customWidth="1"/>
    <col min="22" max="22" width="32" customWidth="1"/>
    <col min="23" max="23" width="48" customWidth="1"/>
  </cols>
  <sheetData>
    <row r="1" ht="28" customHeight="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76</v>
      </c>
      <c r="R1" s="1" t="s">
        <v>77</v>
      </c>
      <c r="S1" s="1" t="s">
        <v>78</v>
      </c>
      <c r="T1" s="1" t="s">
        <v>79</v>
      </c>
      <c r="U1" s="1" t="s">
        <v>80</v>
      </c>
      <c r="V1" s="1" t="s">
        <v>16</v>
      </c>
      <c r="W1" s="1" t="s">
        <v>17</v>
      </c>
    </row>
    <row r="2" spans="1:23">
      <c r="A2" s="2" t="s">
        <v>18</v>
      </c>
      <c r="B2" s="2" t="s">
        <v>19</v>
      </c>
      <c r="C2" s="2" t="s">
        <v>20</v>
      </c>
      <c r="D2" s="2" t="s">
        <v>81</v>
      </c>
      <c r="E2" s="2" t="s">
        <v>82</v>
      </c>
      <c r="F2" s="2" t="s">
        <v>23</v>
      </c>
      <c r="G2" s="2" t="s">
        <v>24</v>
      </c>
      <c r="H2" s="2" t="s">
        <v>37</v>
      </c>
      <c r="I2" s="3">
        <v>46263.4166666667</v>
      </c>
      <c r="J2" s="2" t="s">
        <v>83</v>
      </c>
      <c r="K2" s="2" t="s">
        <v>27</v>
      </c>
      <c r="L2" s="4">
        <v>141.82</v>
      </c>
      <c r="M2" s="5">
        <f t="shared" ref="M2:M20" si="0">IF(AND(ISNUMBER(N2),ISNUMBER(L2),L2&gt;0),ROUND(N2/L2,2),"")</f>
        <v>8461.43</v>
      </c>
      <c r="N2" s="6">
        <v>1200000</v>
      </c>
      <c r="O2" s="7">
        <v>170.184</v>
      </c>
      <c r="P2" s="8">
        <f t="shared" ref="P2:P20" si="1">IF(AND(ISNUMBER(N2),ISNUMBER(O2),O2&gt;0),N2/(O2*10000),"")</f>
        <v>0.705119165138908</v>
      </c>
      <c r="Q2" s="6">
        <v>2148000</v>
      </c>
      <c r="R2" s="8">
        <f t="shared" ref="R2:R20" si="2">IF(AND(ISNUMBER(Q2),ISNUMBER(N2),N2&gt;0),(Q2-N2)/N2,"")</f>
        <v>0.79</v>
      </c>
      <c r="S2" s="5">
        <f t="shared" ref="S2:S20" si="3">IF(AND(ISNUMBER(Q2),ISNUMBER(L2),L2&gt;0),ROUND(Q2/L2,2),"")</f>
        <v>15145.96</v>
      </c>
      <c r="T2" s="6">
        <v>24</v>
      </c>
      <c r="U2" s="6">
        <v>7</v>
      </c>
      <c r="V2" s="9" t="s">
        <v>28</v>
      </c>
      <c r="W2" s="9" t="s">
        <v>84</v>
      </c>
    </row>
    <row r="3" spans="1:23">
      <c r="A3" s="2" t="s">
        <v>18</v>
      </c>
      <c r="B3" s="2" t="s">
        <v>19</v>
      </c>
      <c r="C3" s="2" t="s">
        <v>85</v>
      </c>
      <c r="D3" s="2" t="s">
        <v>86</v>
      </c>
      <c r="E3" s="2" t="s">
        <v>87</v>
      </c>
      <c r="F3" s="2" t="s">
        <v>23</v>
      </c>
      <c r="G3" s="2" t="s">
        <v>24</v>
      </c>
      <c r="H3" s="2" t="s">
        <v>37</v>
      </c>
      <c r="I3" s="3">
        <v>46264.4166666667</v>
      </c>
      <c r="J3" s="2" t="s">
        <v>83</v>
      </c>
      <c r="K3" s="2" t="s">
        <v>38</v>
      </c>
      <c r="L3" s="4">
        <v>166.01</v>
      </c>
      <c r="M3" s="5">
        <f t="shared" si="0"/>
        <v>10717.88</v>
      </c>
      <c r="N3" s="6">
        <v>1779276</v>
      </c>
      <c r="O3" s="7">
        <v>222.409493</v>
      </c>
      <c r="P3" s="8">
        <f t="shared" si="1"/>
        <v>0.800000025178781</v>
      </c>
      <c r="Q3" s="6">
        <v>3548076</v>
      </c>
      <c r="R3" s="8">
        <f t="shared" si="2"/>
        <v>0.994112211933393</v>
      </c>
      <c r="S3" s="5">
        <f t="shared" si="3"/>
        <v>21372.66</v>
      </c>
      <c r="T3" s="6">
        <v>45</v>
      </c>
      <c r="U3" s="6">
        <v>12</v>
      </c>
      <c r="V3" s="9" t="s">
        <v>28</v>
      </c>
      <c r="W3" s="9" t="s">
        <v>88</v>
      </c>
    </row>
    <row r="4" spans="1:23">
      <c r="A4" s="2" t="s">
        <v>18</v>
      </c>
      <c r="B4" s="2" t="s">
        <v>19</v>
      </c>
      <c r="C4" s="2" t="s">
        <v>85</v>
      </c>
      <c r="D4" s="2" t="s">
        <v>89</v>
      </c>
      <c r="E4" s="2" t="s">
        <v>90</v>
      </c>
      <c r="F4" s="2" t="s">
        <v>23</v>
      </c>
      <c r="G4" s="2" t="s">
        <v>24</v>
      </c>
      <c r="H4" s="2" t="s">
        <v>37</v>
      </c>
      <c r="I4" s="3">
        <v>46262.4166666667</v>
      </c>
      <c r="J4" s="2" t="s">
        <v>83</v>
      </c>
      <c r="K4" s="2" t="s">
        <v>27</v>
      </c>
      <c r="L4" s="4">
        <v>163.14</v>
      </c>
      <c r="M4" s="5">
        <f t="shared" si="0"/>
        <v>19798.95</v>
      </c>
      <c r="N4" s="6">
        <v>3230000</v>
      </c>
      <c r="O4" s="7">
        <v>461.428572</v>
      </c>
      <c r="P4" s="8">
        <f t="shared" si="1"/>
        <v>0.699999999133127</v>
      </c>
      <c r="Q4" s="6">
        <v>3350000</v>
      </c>
      <c r="R4" s="8">
        <f t="shared" si="2"/>
        <v>0.0371517027863777</v>
      </c>
      <c r="S4" s="5">
        <f t="shared" si="3"/>
        <v>20534.51</v>
      </c>
      <c r="T4" s="6">
        <v>9</v>
      </c>
      <c r="U4" s="6">
        <v>4</v>
      </c>
      <c r="V4" s="9" t="s">
        <v>28</v>
      </c>
      <c r="W4" s="9" t="s">
        <v>91</v>
      </c>
    </row>
    <row r="5" spans="1:23">
      <c r="A5" s="2" t="s">
        <v>18</v>
      </c>
      <c r="B5" s="2" t="s">
        <v>19</v>
      </c>
      <c r="C5" s="2" t="s">
        <v>85</v>
      </c>
      <c r="D5" s="2" t="s">
        <v>92</v>
      </c>
      <c r="E5" s="2" t="s">
        <v>93</v>
      </c>
      <c r="F5" s="2" t="s">
        <v>23</v>
      </c>
      <c r="G5" s="2" t="s">
        <v>24</v>
      </c>
      <c r="H5" s="2" t="s">
        <v>25</v>
      </c>
      <c r="I5" s="3">
        <v>46262.4166666667</v>
      </c>
      <c r="J5" s="2" t="s">
        <v>83</v>
      </c>
      <c r="K5" s="2" t="s">
        <v>27</v>
      </c>
      <c r="L5" s="4">
        <v>81.83</v>
      </c>
      <c r="M5" s="5">
        <f t="shared" si="0"/>
        <v>9531.96</v>
      </c>
      <c r="N5" s="6">
        <v>780000</v>
      </c>
      <c r="O5" s="7">
        <v>138</v>
      </c>
      <c r="P5" s="8">
        <f t="shared" si="1"/>
        <v>0.565217391304348</v>
      </c>
      <c r="Q5" s="6">
        <v>780000</v>
      </c>
      <c r="R5" s="8">
        <f t="shared" si="2"/>
        <v>0</v>
      </c>
      <c r="S5" s="5">
        <f t="shared" si="3"/>
        <v>9531.96</v>
      </c>
      <c r="T5" s="6">
        <v>1</v>
      </c>
      <c r="U5" s="6">
        <v>1</v>
      </c>
      <c r="V5" s="9" t="s">
        <v>28</v>
      </c>
      <c r="W5" s="9" t="s">
        <v>94</v>
      </c>
    </row>
    <row r="6" spans="1:23">
      <c r="A6" s="2" t="s">
        <v>18</v>
      </c>
      <c r="B6" s="2" t="s">
        <v>19</v>
      </c>
      <c r="C6" s="2" t="s">
        <v>30</v>
      </c>
      <c r="D6" s="2" t="s">
        <v>95</v>
      </c>
      <c r="E6" s="2" t="s">
        <v>96</v>
      </c>
      <c r="F6" s="2" t="s">
        <v>23</v>
      </c>
      <c r="G6" s="2" t="s">
        <v>24</v>
      </c>
      <c r="H6" s="2" t="s">
        <v>37</v>
      </c>
      <c r="I6" s="3">
        <v>46262.4354166667</v>
      </c>
      <c r="J6" s="2" t="s">
        <v>83</v>
      </c>
      <c r="K6" s="2" t="s">
        <v>27</v>
      </c>
      <c r="L6" s="4">
        <v>93.37</v>
      </c>
      <c r="M6" s="5">
        <f t="shared" si="0"/>
        <v>14458.61</v>
      </c>
      <c r="N6" s="6">
        <v>1350000</v>
      </c>
      <c r="O6" s="7">
        <v>191.856686</v>
      </c>
      <c r="P6" s="8">
        <f t="shared" si="1"/>
        <v>0.703650223584077</v>
      </c>
      <c r="Q6" s="6">
        <v>1830000</v>
      </c>
      <c r="R6" s="8">
        <f t="shared" si="2"/>
        <v>0.355555555555556</v>
      </c>
      <c r="S6" s="5">
        <f t="shared" si="3"/>
        <v>19599.44</v>
      </c>
      <c r="T6" s="6">
        <v>88</v>
      </c>
      <c r="U6" s="6">
        <v>10</v>
      </c>
      <c r="V6" s="9" t="s">
        <v>28</v>
      </c>
      <c r="W6" s="9" t="s">
        <v>97</v>
      </c>
    </row>
    <row r="7" spans="1:23">
      <c r="A7" s="2" t="s">
        <v>18</v>
      </c>
      <c r="B7" s="2" t="s">
        <v>19</v>
      </c>
      <c r="C7" s="2" t="s">
        <v>30</v>
      </c>
      <c r="D7" s="2" t="s">
        <v>98</v>
      </c>
      <c r="E7" s="2" t="s">
        <v>99</v>
      </c>
      <c r="F7" s="2" t="s">
        <v>23</v>
      </c>
      <c r="G7" s="2" t="s">
        <v>24</v>
      </c>
      <c r="H7" s="2" t="s">
        <v>37</v>
      </c>
      <c r="I7" s="3">
        <v>46262.4166666667</v>
      </c>
      <c r="J7" s="2" t="s">
        <v>83</v>
      </c>
      <c r="K7" s="2" t="s">
        <v>27</v>
      </c>
      <c r="L7" s="4">
        <v>88.72</v>
      </c>
      <c r="M7" s="5">
        <f t="shared" si="0"/>
        <v>9580.7</v>
      </c>
      <c r="N7" s="6">
        <v>850000</v>
      </c>
      <c r="O7" s="7">
        <v>121.320164</v>
      </c>
      <c r="P7" s="8">
        <f t="shared" si="1"/>
        <v>0.700625495362832</v>
      </c>
      <c r="Q7" s="6">
        <v>1280000</v>
      </c>
      <c r="R7" s="8">
        <f t="shared" si="2"/>
        <v>0.505882352941176</v>
      </c>
      <c r="S7" s="5">
        <f t="shared" si="3"/>
        <v>14427.41</v>
      </c>
      <c r="T7" s="6">
        <v>86</v>
      </c>
      <c r="U7" s="6">
        <v>12</v>
      </c>
      <c r="V7" s="9" t="s">
        <v>28</v>
      </c>
      <c r="W7" s="9" t="s">
        <v>100</v>
      </c>
    </row>
    <row r="8" spans="1:23">
      <c r="A8" s="2" t="s">
        <v>18</v>
      </c>
      <c r="B8" s="2" t="s">
        <v>19</v>
      </c>
      <c r="C8" s="2" t="s">
        <v>30</v>
      </c>
      <c r="D8" s="2" t="s">
        <v>101</v>
      </c>
      <c r="E8" s="2" t="s">
        <v>102</v>
      </c>
      <c r="F8" s="2" t="s">
        <v>23</v>
      </c>
      <c r="G8" s="2" t="s">
        <v>24</v>
      </c>
      <c r="H8" s="2" t="s">
        <v>37</v>
      </c>
      <c r="I8" s="3">
        <v>46262.4166666667</v>
      </c>
      <c r="J8" s="2" t="s">
        <v>83</v>
      </c>
      <c r="K8" s="2" t="s">
        <v>103</v>
      </c>
      <c r="L8" s="4">
        <v>137.52</v>
      </c>
      <c r="M8" s="5">
        <f t="shared" si="0"/>
        <v>8400</v>
      </c>
      <c r="N8" s="6">
        <v>1155168</v>
      </c>
      <c r="O8" s="7">
        <v>165.024</v>
      </c>
      <c r="P8" s="8">
        <f t="shared" si="1"/>
        <v>0.7</v>
      </c>
      <c r="Q8" s="6">
        <v>1180168</v>
      </c>
      <c r="R8" s="8">
        <f t="shared" si="2"/>
        <v>0.0216418737361146</v>
      </c>
      <c r="S8" s="5">
        <f t="shared" si="3"/>
        <v>8581.79</v>
      </c>
      <c r="T8" s="6">
        <v>6</v>
      </c>
      <c r="U8" s="6">
        <v>4</v>
      </c>
      <c r="V8" s="9" t="s">
        <v>28</v>
      </c>
      <c r="W8" s="9" t="s">
        <v>104</v>
      </c>
    </row>
    <row r="9" spans="1:23">
      <c r="A9" s="2" t="s">
        <v>18</v>
      </c>
      <c r="B9" s="2" t="s">
        <v>19</v>
      </c>
      <c r="C9" s="2" t="s">
        <v>30</v>
      </c>
      <c r="D9" s="2" t="s">
        <v>105</v>
      </c>
      <c r="E9" s="2" t="s">
        <v>106</v>
      </c>
      <c r="F9" s="2" t="s">
        <v>23</v>
      </c>
      <c r="G9" s="2" t="s">
        <v>24</v>
      </c>
      <c r="H9" s="2" t="s">
        <v>25</v>
      </c>
      <c r="I9" s="3">
        <v>46262.4166666667</v>
      </c>
      <c r="J9" s="2" t="s">
        <v>83</v>
      </c>
      <c r="K9" s="2" t="s">
        <v>103</v>
      </c>
      <c r="L9" s="4">
        <v>112.45</v>
      </c>
      <c r="M9" s="5">
        <f t="shared" si="0"/>
        <v>9520</v>
      </c>
      <c r="N9" s="6">
        <v>1070524</v>
      </c>
      <c r="O9" s="7">
        <v>191.165</v>
      </c>
      <c r="P9" s="8">
        <f t="shared" si="1"/>
        <v>0.56</v>
      </c>
      <c r="Q9" s="6">
        <v>1070524</v>
      </c>
      <c r="R9" s="8">
        <f t="shared" si="2"/>
        <v>0</v>
      </c>
      <c r="S9" s="5">
        <f t="shared" si="3"/>
        <v>9520</v>
      </c>
      <c r="T9" s="6">
        <v>1</v>
      </c>
      <c r="U9" s="6">
        <v>1</v>
      </c>
      <c r="V9" s="9" t="s">
        <v>28</v>
      </c>
      <c r="W9" s="9" t="s">
        <v>107</v>
      </c>
    </row>
    <row r="10" spans="1:23">
      <c r="A10" s="2" t="s">
        <v>18</v>
      </c>
      <c r="B10" s="2" t="s">
        <v>19</v>
      </c>
      <c r="C10" s="2" t="s">
        <v>108</v>
      </c>
      <c r="D10" s="2" t="s">
        <v>109</v>
      </c>
      <c r="E10" s="2" t="s">
        <v>110</v>
      </c>
      <c r="F10" s="2" t="s">
        <v>23</v>
      </c>
      <c r="G10" s="2" t="s">
        <v>24</v>
      </c>
      <c r="H10" s="2" t="s">
        <v>37</v>
      </c>
      <c r="I10" s="3">
        <v>46265.4166666667</v>
      </c>
      <c r="J10" s="2" t="s">
        <v>83</v>
      </c>
      <c r="K10" s="2" t="s">
        <v>111</v>
      </c>
      <c r="L10" s="4">
        <v>96.92</v>
      </c>
      <c r="M10" s="5">
        <f t="shared" si="0"/>
        <v>8400</v>
      </c>
      <c r="N10" s="6">
        <v>814128</v>
      </c>
      <c r="O10" s="7">
        <v>116.304</v>
      </c>
      <c r="P10" s="8">
        <f t="shared" si="1"/>
        <v>0.7</v>
      </c>
      <c r="Q10" s="6">
        <v>1022128</v>
      </c>
      <c r="R10" s="8">
        <f t="shared" si="2"/>
        <v>0.255488080498398</v>
      </c>
      <c r="S10" s="5">
        <f t="shared" si="3"/>
        <v>10546.1</v>
      </c>
      <c r="T10" s="6">
        <v>27</v>
      </c>
      <c r="U10" s="6">
        <v>5</v>
      </c>
      <c r="V10" s="9" t="s">
        <v>28</v>
      </c>
      <c r="W10" s="9" t="s">
        <v>112</v>
      </c>
    </row>
    <row r="11" spans="1:23">
      <c r="A11" s="2" t="s">
        <v>18</v>
      </c>
      <c r="B11" s="2" t="s">
        <v>19</v>
      </c>
      <c r="C11" s="2" t="s">
        <v>113</v>
      </c>
      <c r="D11" s="2" t="s">
        <v>114</v>
      </c>
      <c r="E11" s="2" t="s">
        <v>115</v>
      </c>
      <c r="F11" s="2" t="s">
        <v>23</v>
      </c>
      <c r="G11" s="2" t="s">
        <v>24</v>
      </c>
      <c r="H11" s="2" t="s">
        <v>37</v>
      </c>
      <c r="I11" s="3">
        <v>46262.4166666667</v>
      </c>
      <c r="J11" s="2" t="s">
        <v>83</v>
      </c>
      <c r="K11" s="2" t="s">
        <v>27</v>
      </c>
      <c r="L11" s="4">
        <v>131.24</v>
      </c>
      <c r="M11" s="5">
        <f t="shared" si="0"/>
        <v>4343.19</v>
      </c>
      <c r="N11" s="6">
        <v>570000</v>
      </c>
      <c r="O11" s="7">
        <v>80.552564</v>
      </c>
      <c r="P11" s="8">
        <f t="shared" si="1"/>
        <v>0.707612485184208</v>
      </c>
      <c r="Q11" s="6">
        <v>639000</v>
      </c>
      <c r="R11" s="8">
        <f t="shared" si="2"/>
        <v>0.121052631578947</v>
      </c>
      <c r="S11" s="5">
        <f t="shared" si="3"/>
        <v>4868.94</v>
      </c>
      <c r="T11" s="6">
        <v>23</v>
      </c>
      <c r="U11" s="6">
        <v>3</v>
      </c>
      <c r="V11" s="9" t="s">
        <v>28</v>
      </c>
      <c r="W11" s="9" t="s">
        <v>116</v>
      </c>
    </row>
    <row r="12" spans="1:23">
      <c r="A12" s="2" t="s">
        <v>18</v>
      </c>
      <c r="B12" s="2" t="s">
        <v>19</v>
      </c>
      <c r="C12" s="2" t="s">
        <v>113</v>
      </c>
      <c r="D12" s="2" t="s">
        <v>117</v>
      </c>
      <c r="E12" s="2" t="s">
        <v>118</v>
      </c>
      <c r="F12" s="2" t="s">
        <v>23</v>
      </c>
      <c r="G12" s="2" t="s">
        <v>24</v>
      </c>
      <c r="H12" s="2" t="s">
        <v>25</v>
      </c>
      <c r="I12" s="3">
        <v>46262.4166666667</v>
      </c>
      <c r="J12" s="2" t="s">
        <v>83</v>
      </c>
      <c r="K12" s="2" t="s">
        <v>27</v>
      </c>
      <c r="L12" s="4">
        <v>94.78</v>
      </c>
      <c r="M12" s="5">
        <f t="shared" si="0"/>
        <v>7438.28</v>
      </c>
      <c r="N12" s="6">
        <v>705000</v>
      </c>
      <c r="O12" s="7">
        <v>125.503903</v>
      </c>
      <c r="P12" s="8">
        <f t="shared" si="1"/>
        <v>0.561735518296989</v>
      </c>
      <c r="Q12" s="6">
        <v>753000</v>
      </c>
      <c r="R12" s="8">
        <f t="shared" si="2"/>
        <v>0.0680851063829787</v>
      </c>
      <c r="S12" s="5">
        <f t="shared" si="3"/>
        <v>7944.71</v>
      </c>
      <c r="T12" s="6">
        <v>9</v>
      </c>
      <c r="U12" s="6">
        <v>3</v>
      </c>
      <c r="V12" s="9" t="s">
        <v>28</v>
      </c>
      <c r="W12" s="9" t="s">
        <v>119</v>
      </c>
    </row>
    <row r="13" spans="1:23">
      <c r="A13" s="2" t="s">
        <v>18</v>
      </c>
      <c r="B13" s="2" t="s">
        <v>19</v>
      </c>
      <c r="C13" s="2" t="s">
        <v>46</v>
      </c>
      <c r="D13" s="2" t="s">
        <v>120</v>
      </c>
      <c r="E13" s="2" t="s">
        <v>121</v>
      </c>
      <c r="F13" s="2" t="s">
        <v>23</v>
      </c>
      <c r="G13" s="2" t="s">
        <v>24</v>
      </c>
      <c r="H13" s="2" t="s">
        <v>37</v>
      </c>
      <c r="I13" s="3">
        <v>46264.4166666667</v>
      </c>
      <c r="J13" s="2" t="s">
        <v>83</v>
      </c>
      <c r="K13" s="2" t="s">
        <v>38</v>
      </c>
      <c r="L13" s="4">
        <v>655.95</v>
      </c>
      <c r="M13" s="5">
        <f t="shared" si="0"/>
        <v>6521.9</v>
      </c>
      <c r="N13" s="6">
        <v>4278041</v>
      </c>
      <c r="O13" s="7">
        <v>611.1486</v>
      </c>
      <c r="P13" s="8">
        <f t="shared" si="1"/>
        <v>0.700000130901061</v>
      </c>
      <c r="Q13" s="6">
        <v>4278041</v>
      </c>
      <c r="R13" s="8">
        <f t="shared" si="2"/>
        <v>0</v>
      </c>
      <c r="S13" s="5">
        <f t="shared" si="3"/>
        <v>6521.9</v>
      </c>
      <c r="T13" s="6">
        <v>1</v>
      </c>
      <c r="U13" s="6">
        <v>1</v>
      </c>
      <c r="V13" s="9" t="s">
        <v>28</v>
      </c>
      <c r="W13" s="9" t="s">
        <v>122</v>
      </c>
    </row>
    <row r="14" spans="1:23">
      <c r="A14" s="2" t="s">
        <v>18</v>
      </c>
      <c r="B14" s="2" t="s">
        <v>19</v>
      </c>
      <c r="C14" s="2" t="s">
        <v>46</v>
      </c>
      <c r="D14" s="2" t="s">
        <v>123</v>
      </c>
      <c r="E14" s="2" t="s">
        <v>124</v>
      </c>
      <c r="F14" s="2" t="s">
        <v>23</v>
      </c>
      <c r="G14" s="2" t="s">
        <v>24</v>
      </c>
      <c r="H14" s="2" t="s">
        <v>37</v>
      </c>
      <c r="I14" s="3">
        <v>46262.4166666667</v>
      </c>
      <c r="J14" s="2" t="s">
        <v>83</v>
      </c>
      <c r="K14" s="2" t="s">
        <v>38</v>
      </c>
      <c r="L14" s="4">
        <v>98.43</v>
      </c>
      <c r="M14" s="5">
        <f t="shared" si="0"/>
        <v>8263.31</v>
      </c>
      <c r="N14" s="6">
        <v>813358</v>
      </c>
      <c r="O14" s="7">
        <v>101.669709</v>
      </c>
      <c r="P14" s="8">
        <f t="shared" si="1"/>
        <v>0.800000322613297</v>
      </c>
      <c r="Q14" s="6">
        <v>929358</v>
      </c>
      <c r="R14" s="8">
        <f t="shared" si="2"/>
        <v>0.142618625500702</v>
      </c>
      <c r="S14" s="5">
        <f t="shared" si="3"/>
        <v>9441.82</v>
      </c>
      <c r="T14" s="6">
        <v>30</v>
      </c>
      <c r="U14" s="6">
        <v>8</v>
      </c>
      <c r="V14" s="9" t="s">
        <v>28</v>
      </c>
      <c r="W14" s="9" t="s">
        <v>125</v>
      </c>
    </row>
    <row r="15" spans="1:23">
      <c r="A15" s="2" t="s">
        <v>18</v>
      </c>
      <c r="B15" s="2" t="s">
        <v>19</v>
      </c>
      <c r="C15" s="2" t="s">
        <v>126</v>
      </c>
      <c r="D15" s="2" t="s">
        <v>127</v>
      </c>
      <c r="E15" s="2" t="s">
        <v>128</v>
      </c>
      <c r="F15" s="2" t="s">
        <v>23</v>
      </c>
      <c r="G15" s="2" t="s">
        <v>24</v>
      </c>
      <c r="H15" s="2" t="s">
        <v>43</v>
      </c>
      <c r="I15" s="3">
        <v>46262.68125</v>
      </c>
      <c r="J15" s="2" t="s">
        <v>83</v>
      </c>
      <c r="K15" s="2" t="s">
        <v>103</v>
      </c>
      <c r="L15" s="4">
        <v>124.92</v>
      </c>
      <c r="M15" s="5">
        <f t="shared" si="0"/>
        <v>1907.36</v>
      </c>
      <c r="N15" s="6">
        <v>238268</v>
      </c>
      <c r="O15" s="7">
        <v>42.547764</v>
      </c>
      <c r="P15" s="8">
        <f t="shared" si="1"/>
        <v>0.560001225916361</v>
      </c>
      <c r="Q15" s="6">
        <v>238268</v>
      </c>
      <c r="R15" s="8">
        <f t="shared" si="2"/>
        <v>0</v>
      </c>
      <c r="S15" s="5">
        <f t="shared" si="3"/>
        <v>1907.36</v>
      </c>
      <c r="T15" s="6">
        <v>1</v>
      </c>
      <c r="U15" s="6">
        <v>1</v>
      </c>
      <c r="V15" s="9" t="s">
        <v>28</v>
      </c>
      <c r="W15" s="9" t="s">
        <v>129</v>
      </c>
    </row>
    <row r="16" spans="1:23">
      <c r="A16" s="2" t="s">
        <v>18</v>
      </c>
      <c r="B16" s="2" t="s">
        <v>57</v>
      </c>
      <c r="C16" s="2" t="s">
        <v>58</v>
      </c>
      <c r="D16" s="2" t="s">
        <v>130</v>
      </c>
      <c r="E16" s="2" t="s">
        <v>131</v>
      </c>
      <c r="F16" s="2" t="s">
        <v>23</v>
      </c>
      <c r="G16" s="2" t="s">
        <v>24</v>
      </c>
      <c r="H16" s="2" t="s">
        <v>37</v>
      </c>
      <c r="I16" s="3">
        <v>46263.4166666667</v>
      </c>
      <c r="J16" s="2" t="s">
        <v>83</v>
      </c>
      <c r="K16" s="2" t="s">
        <v>132</v>
      </c>
      <c r="L16" s="4">
        <v>109.46</v>
      </c>
      <c r="M16" s="5">
        <f t="shared" si="0"/>
        <v>11060</v>
      </c>
      <c r="N16" s="6">
        <v>1210628</v>
      </c>
      <c r="O16" s="7">
        <v>172.9468</v>
      </c>
      <c r="P16" s="8">
        <f t="shared" si="1"/>
        <v>0.700000231284996</v>
      </c>
      <c r="Q16" s="6">
        <v>1210628</v>
      </c>
      <c r="R16" s="8">
        <f t="shared" si="2"/>
        <v>0</v>
      </c>
      <c r="S16" s="5">
        <f t="shared" si="3"/>
        <v>11060</v>
      </c>
      <c r="T16" s="6">
        <v>1</v>
      </c>
      <c r="U16" s="6">
        <v>1</v>
      </c>
      <c r="V16" s="9" t="s">
        <v>28</v>
      </c>
      <c r="W16" s="9" t="s">
        <v>133</v>
      </c>
    </row>
    <row r="17" spans="1:23">
      <c r="A17" s="2" t="s">
        <v>18</v>
      </c>
      <c r="B17" s="2" t="s">
        <v>57</v>
      </c>
      <c r="C17" s="2" t="s">
        <v>71</v>
      </c>
      <c r="D17" s="2" t="s">
        <v>134</v>
      </c>
      <c r="E17" s="2" t="s">
        <v>135</v>
      </c>
      <c r="F17" s="2" t="s">
        <v>23</v>
      </c>
      <c r="G17" s="2" t="s">
        <v>24</v>
      </c>
      <c r="H17" s="2" t="s">
        <v>25</v>
      </c>
      <c r="I17" s="3">
        <v>46264.4166666667</v>
      </c>
      <c r="J17" s="2" t="s">
        <v>83</v>
      </c>
      <c r="K17" s="2" t="s">
        <v>132</v>
      </c>
      <c r="L17" s="4">
        <v>87.75</v>
      </c>
      <c r="M17" s="5">
        <f t="shared" si="0"/>
        <v>5323.67</v>
      </c>
      <c r="N17" s="6">
        <v>467152</v>
      </c>
      <c r="O17" s="7">
        <v>83.42</v>
      </c>
      <c r="P17" s="8">
        <f t="shared" si="1"/>
        <v>0.56</v>
      </c>
      <c r="Q17" s="6">
        <v>659152</v>
      </c>
      <c r="R17" s="8">
        <f t="shared" si="2"/>
        <v>0.411001130253108</v>
      </c>
      <c r="S17" s="5">
        <f t="shared" si="3"/>
        <v>7511.7</v>
      </c>
      <c r="T17" s="6">
        <v>40</v>
      </c>
      <c r="U17" s="6">
        <v>4</v>
      </c>
      <c r="V17" s="9" t="s">
        <v>28</v>
      </c>
      <c r="W17" s="9" t="s">
        <v>136</v>
      </c>
    </row>
    <row r="18" spans="1:23">
      <c r="A18" s="2" t="s">
        <v>18</v>
      </c>
      <c r="B18" s="2" t="s">
        <v>57</v>
      </c>
      <c r="C18" s="2" t="s">
        <v>137</v>
      </c>
      <c r="D18" s="2" t="s">
        <v>138</v>
      </c>
      <c r="E18" s="2" t="s">
        <v>139</v>
      </c>
      <c r="F18" s="2" t="s">
        <v>23</v>
      </c>
      <c r="G18" s="2" t="s">
        <v>24</v>
      </c>
      <c r="H18" s="2" t="s">
        <v>37</v>
      </c>
      <c r="I18" s="3">
        <v>46265.4166666667</v>
      </c>
      <c r="J18" s="2" t="s">
        <v>83</v>
      </c>
      <c r="K18" s="2" t="s">
        <v>132</v>
      </c>
      <c r="L18" s="4">
        <v>229.55</v>
      </c>
      <c r="M18" s="5">
        <f t="shared" si="0"/>
        <v>2520</v>
      </c>
      <c r="N18" s="6">
        <v>578466</v>
      </c>
      <c r="O18" s="7">
        <v>82.638</v>
      </c>
      <c r="P18" s="8">
        <f t="shared" si="1"/>
        <v>0.7</v>
      </c>
      <c r="Q18" s="6">
        <v>840666</v>
      </c>
      <c r="R18" s="8">
        <f t="shared" si="2"/>
        <v>0.453267780647437</v>
      </c>
      <c r="S18" s="5">
        <f t="shared" si="3"/>
        <v>3662.23</v>
      </c>
      <c r="T18" s="6">
        <v>40</v>
      </c>
      <c r="U18" s="6">
        <v>7</v>
      </c>
      <c r="V18" s="9" t="s">
        <v>28</v>
      </c>
      <c r="W18" s="9" t="s">
        <v>140</v>
      </c>
    </row>
    <row r="19" spans="1:23">
      <c r="A19" s="2" t="s">
        <v>18</v>
      </c>
      <c r="B19" s="2" t="s">
        <v>57</v>
      </c>
      <c r="C19" s="2" t="s">
        <v>137</v>
      </c>
      <c r="D19" s="2" t="s">
        <v>141</v>
      </c>
      <c r="E19" s="2" t="s">
        <v>142</v>
      </c>
      <c r="F19" s="2" t="s">
        <v>23</v>
      </c>
      <c r="G19" s="2" t="s">
        <v>24</v>
      </c>
      <c r="H19" s="2" t="s">
        <v>25</v>
      </c>
      <c r="I19" s="3">
        <v>46264.4166666667</v>
      </c>
      <c r="J19" s="2" t="s">
        <v>83</v>
      </c>
      <c r="K19" s="2" t="s">
        <v>132</v>
      </c>
      <c r="L19" s="4">
        <v>78.24</v>
      </c>
      <c r="M19" s="5">
        <f t="shared" si="0"/>
        <v>2184.01</v>
      </c>
      <c r="N19" s="6">
        <v>170877</v>
      </c>
      <c r="O19" s="7">
        <v>30.5136</v>
      </c>
      <c r="P19" s="8">
        <f t="shared" si="1"/>
        <v>0.560002752870851</v>
      </c>
      <c r="Q19" s="6">
        <v>193081</v>
      </c>
      <c r="R19" s="8">
        <f t="shared" si="2"/>
        <v>0.129941419851706</v>
      </c>
      <c r="S19" s="5">
        <f t="shared" si="3"/>
        <v>2467.8</v>
      </c>
      <c r="T19" s="6">
        <v>14</v>
      </c>
      <c r="U19" s="6">
        <v>4</v>
      </c>
      <c r="V19" s="2" t="s">
        <v>143</v>
      </c>
      <c r="W19" s="9" t="s">
        <v>144</v>
      </c>
    </row>
    <row r="20" spans="1:23">
      <c r="A20" s="2" t="s">
        <v>18</v>
      </c>
      <c r="B20" s="2" t="s">
        <v>57</v>
      </c>
      <c r="C20" s="2" t="s">
        <v>137</v>
      </c>
      <c r="D20" s="2" t="s">
        <v>145</v>
      </c>
      <c r="E20" s="2" t="s">
        <v>146</v>
      </c>
      <c r="F20" s="2" t="s">
        <v>23</v>
      </c>
      <c r="G20" s="2" t="s">
        <v>24</v>
      </c>
      <c r="H20" s="2" t="s">
        <v>37</v>
      </c>
      <c r="I20" s="3">
        <v>46263.4166666667</v>
      </c>
      <c r="J20" s="2" t="s">
        <v>83</v>
      </c>
      <c r="K20" s="2" t="s">
        <v>132</v>
      </c>
      <c r="L20" s="4">
        <v>87.56</v>
      </c>
      <c r="M20" s="5">
        <f t="shared" si="0"/>
        <v>4317.04</v>
      </c>
      <c r="N20" s="6">
        <v>378000</v>
      </c>
      <c r="O20" s="7">
        <v>54</v>
      </c>
      <c r="P20" s="8">
        <f t="shared" si="1"/>
        <v>0.7</v>
      </c>
      <c r="Q20" s="6">
        <v>432000</v>
      </c>
      <c r="R20" s="8">
        <f t="shared" si="2"/>
        <v>0.142857142857143</v>
      </c>
      <c r="S20" s="5">
        <f t="shared" si="3"/>
        <v>4933.76</v>
      </c>
      <c r="T20" s="6">
        <v>19</v>
      </c>
      <c r="U20" s="6">
        <v>3</v>
      </c>
      <c r="V20" s="9" t="s">
        <v>28</v>
      </c>
      <c r="W20" s="9" t="s">
        <v>147</v>
      </c>
    </row>
  </sheetData>
  <autoFilter xmlns:etc="http://www.wps.cn/officeDocument/2017/etCustomData" ref="A1:W20" etc:filterBottomFollowUsedRange="0">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56"/>
  <sheetViews>
    <sheetView showGridLines="0" tabSelected="1" workbookViewId="0">
      <pane xSplit="3" ySplit="1" topLeftCell="D2" activePane="bottomRight" state="frozen"/>
      <selection/>
      <selection pane="topRight"/>
      <selection pane="bottomLeft"/>
      <selection pane="bottomRight" activeCell="A1" sqref="A1"/>
    </sheetView>
  </sheetViews>
  <sheetFormatPr defaultColWidth="9" defaultRowHeight="13.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8" width="12" customWidth="1"/>
    <col min="19" max="19" width="32" customWidth="1"/>
    <col min="20" max="20" width="48" customWidth="1"/>
  </cols>
  <sheetData>
    <row r="1" ht="28" customHeight="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79</v>
      </c>
      <c r="R1" s="1" t="s">
        <v>80</v>
      </c>
      <c r="S1" s="1" t="s">
        <v>16</v>
      </c>
      <c r="T1" s="1" t="s">
        <v>17</v>
      </c>
    </row>
    <row r="2" hidden="1" spans="1:20">
      <c r="A2" s="2" t="s">
        <v>18</v>
      </c>
      <c r="B2" s="2" t="s">
        <v>19</v>
      </c>
      <c r="C2" s="2" t="s">
        <v>20</v>
      </c>
      <c r="D2" s="2" t="s">
        <v>148</v>
      </c>
      <c r="E2" s="2" t="s">
        <v>149</v>
      </c>
      <c r="F2" s="2" t="s">
        <v>42</v>
      </c>
      <c r="G2" s="2" t="s">
        <v>24</v>
      </c>
      <c r="H2" s="2" t="s">
        <v>43</v>
      </c>
      <c r="I2" s="3">
        <v>46264.4166666667</v>
      </c>
      <c r="J2" s="2" t="s">
        <v>150</v>
      </c>
      <c r="K2" s="2" t="s">
        <v>111</v>
      </c>
      <c r="L2" s="4">
        <v>63.97</v>
      </c>
      <c r="M2" s="5">
        <f t="shared" ref="M2:M56" si="0">IF(AND(ISNUMBER(N2),ISNUMBER(L2),L2&gt;0),ROUND(N2/L2,2),"")</f>
        <v>11760.04</v>
      </c>
      <c r="N2" s="6">
        <v>752290</v>
      </c>
      <c r="O2" s="7">
        <v>134.337</v>
      </c>
      <c r="P2" s="8">
        <f t="shared" ref="P2:P56" si="1">IF(AND(ISNUMBER(N2),ISNUMBER(O2),O2&gt;0),N2/(O2*10000),"")</f>
        <v>0.560002084310354</v>
      </c>
      <c r="Q2" s="6">
        <v>0</v>
      </c>
      <c r="R2" s="6">
        <v>0</v>
      </c>
      <c r="S2" s="9" t="s">
        <v>28</v>
      </c>
      <c r="T2" s="9" t="s">
        <v>151</v>
      </c>
    </row>
    <row r="3" hidden="1" spans="1:20">
      <c r="A3" s="2" t="s">
        <v>18</v>
      </c>
      <c r="B3" s="2" t="s">
        <v>19</v>
      </c>
      <c r="C3" s="2" t="s">
        <v>30</v>
      </c>
      <c r="D3" s="2" t="s">
        <v>152</v>
      </c>
      <c r="E3" s="2" t="s">
        <v>153</v>
      </c>
      <c r="F3" s="2" t="s">
        <v>23</v>
      </c>
      <c r="G3" s="2" t="s">
        <v>24</v>
      </c>
      <c r="H3" s="2" t="s">
        <v>37</v>
      </c>
      <c r="I3" s="3">
        <v>46265.4166666667</v>
      </c>
      <c r="J3" s="2" t="s">
        <v>150</v>
      </c>
      <c r="K3" s="2" t="s">
        <v>111</v>
      </c>
      <c r="L3" s="4">
        <v>73.25</v>
      </c>
      <c r="M3" s="5">
        <f t="shared" si="0"/>
        <v>5600</v>
      </c>
      <c r="N3" s="6">
        <v>410200</v>
      </c>
      <c r="O3" s="7">
        <v>58.6</v>
      </c>
      <c r="P3" s="8">
        <f t="shared" si="1"/>
        <v>0.7</v>
      </c>
      <c r="Q3" s="6">
        <v>0</v>
      </c>
      <c r="R3" s="6">
        <v>0</v>
      </c>
      <c r="S3" s="9" t="s">
        <v>28</v>
      </c>
      <c r="T3" s="9" t="s">
        <v>154</v>
      </c>
    </row>
    <row r="4" hidden="1" spans="1:20">
      <c r="A4" s="2" t="s">
        <v>18</v>
      </c>
      <c r="B4" s="2" t="s">
        <v>19</v>
      </c>
      <c r="C4" s="2" t="s">
        <v>30</v>
      </c>
      <c r="D4" s="2" t="s">
        <v>155</v>
      </c>
      <c r="E4" s="2" t="s">
        <v>156</v>
      </c>
      <c r="F4" s="2" t="s">
        <v>23</v>
      </c>
      <c r="G4" s="2" t="s">
        <v>24</v>
      </c>
      <c r="H4" s="2" t="s">
        <v>37</v>
      </c>
      <c r="I4" s="3">
        <v>46265.4166666667</v>
      </c>
      <c r="J4" s="2" t="s">
        <v>150</v>
      </c>
      <c r="K4" s="2" t="s">
        <v>111</v>
      </c>
      <c r="L4" s="4">
        <v>135.63</v>
      </c>
      <c r="M4" s="5">
        <f t="shared" si="0"/>
        <v>10500</v>
      </c>
      <c r="N4" s="6">
        <v>1424115</v>
      </c>
      <c r="O4" s="7">
        <v>203.445</v>
      </c>
      <c r="P4" s="8">
        <f t="shared" si="1"/>
        <v>0.7</v>
      </c>
      <c r="Q4" s="6">
        <v>0</v>
      </c>
      <c r="R4" s="6">
        <v>0</v>
      </c>
      <c r="S4" s="9" t="s">
        <v>28</v>
      </c>
      <c r="T4" s="9" t="s">
        <v>157</v>
      </c>
    </row>
    <row r="5" hidden="1" spans="1:20">
      <c r="A5" s="2" t="s">
        <v>18</v>
      </c>
      <c r="B5" s="2" t="s">
        <v>19</v>
      </c>
      <c r="C5" s="2" t="s">
        <v>30</v>
      </c>
      <c r="D5" s="2" t="s">
        <v>158</v>
      </c>
      <c r="E5" s="2" t="s">
        <v>159</v>
      </c>
      <c r="F5" s="2" t="s">
        <v>23</v>
      </c>
      <c r="G5" s="2" t="s">
        <v>24</v>
      </c>
      <c r="H5" s="2" t="s">
        <v>37</v>
      </c>
      <c r="I5" s="3">
        <v>46262.4166666667</v>
      </c>
      <c r="J5" s="2" t="s">
        <v>150</v>
      </c>
      <c r="K5" s="2" t="s">
        <v>103</v>
      </c>
      <c r="L5" s="4">
        <v>91.19</v>
      </c>
      <c r="M5" s="5">
        <f t="shared" si="0"/>
        <v>9100</v>
      </c>
      <c r="N5" s="6">
        <v>829829</v>
      </c>
      <c r="O5" s="7">
        <v>118.547</v>
      </c>
      <c r="P5" s="8">
        <f t="shared" si="1"/>
        <v>0.7</v>
      </c>
      <c r="Q5" s="6">
        <v>0</v>
      </c>
      <c r="R5" s="6">
        <v>0</v>
      </c>
      <c r="S5" s="9" t="s">
        <v>28</v>
      </c>
      <c r="T5" s="9" t="s">
        <v>160</v>
      </c>
    </row>
    <row r="6" hidden="1" spans="1:20">
      <c r="A6" s="2" t="s">
        <v>18</v>
      </c>
      <c r="B6" s="2" t="s">
        <v>19</v>
      </c>
      <c r="C6" s="2" t="s">
        <v>108</v>
      </c>
      <c r="D6" s="2" t="s">
        <v>161</v>
      </c>
      <c r="E6" s="2" t="s">
        <v>162</v>
      </c>
      <c r="F6" s="2" t="s">
        <v>23</v>
      </c>
      <c r="G6" s="2" t="s">
        <v>24</v>
      </c>
      <c r="H6" s="2" t="s">
        <v>37</v>
      </c>
      <c r="I6" s="3">
        <v>46265.4166666667</v>
      </c>
      <c r="J6" s="2" t="s">
        <v>150</v>
      </c>
      <c r="K6" s="2" t="s">
        <v>111</v>
      </c>
      <c r="L6" s="4">
        <v>191</v>
      </c>
      <c r="M6" s="5">
        <f t="shared" si="0"/>
        <v>5600</v>
      </c>
      <c r="N6" s="6">
        <v>1069600</v>
      </c>
      <c r="O6" s="7">
        <v>152.8</v>
      </c>
      <c r="P6" s="8">
        <f t="shared" si="1"/>
        <v>0.7</v>
      </c>
      <c r="Q6" s="6">
        <v>0</v>
      </c>
      <c r="R6" s="6">
        <v>0</v>
      </c>
      <c r="S6" s="2" t="s">
        <v>163</v>
      </c>
      <c r="T6" s="9" t="s">
        <v>164</v>
      </c>
    </row>
    <row r="7" hidden="1" spans="1:20">
      <c r="A7" s="2" t="s">
        <v>18</v>
      </c>
      <c r="B7" s="2" t="s">
        <v>19</v>
      </c>
      <c r="C7" s="2" t="s">
        <v>108</v>
      </c>
      <c r="D7" s="2" t="s">
        <v>165</v>
      </c>
      <c r="E7" s="2" t="s">
        <v>166</v>
      </c>
      <c r="F7" s="2" t="s">
        <v>23</v>
      </c>
      <c r="G7" s="2" t="s">
        <v>24</v>
      </c>
      <c r="H7" s="2" t="s">
        <v>37</v>
      </c>
      <c r="I7" s="3">
        <v>46265.4166666667</v>
      </c>
      <c r="J7" s="2" t="s">
        <v>150</v>
      </c>
      <c r="K7" s="2" t="s">
        <v>111</v>
      </c>
      <c r="L7" s="4">
        <v>72.76</v>
      </c>
      <c r="M7" s="5">
        <f t="shared" si="0"/>
        <v>3150</v>
      </c>
      <c r="N7" s="6">
        <v>229194</v>
      </c>
      <c r="O7" s="7">
        <v>32.742</v>
      </c>
      <c r="P7" s="8">
        <f t="shared" si="1"/>
        <v>0.7</v>
      </c>
      <c r="Q7" s="6">
        <v>0</v>
      </c>
      <c r="R7" s="6">
        <v>0</v>
      </c>
      <c r="S7" s="9" t="s">
        <v>28</v>
      </c>
      <c r="T7" s="9" t="s">
        <v>167</v>
      </c>
    </row>
    <row r="8" hidden="1" spans="1:20">
      <c r="A8" s="2" t="s">
        <v>18</v>
      </c>
      <c r="B8" s="2" t="s">
        <v>19</v>
      </c>
      <c r="C8" s="2" t="s">
        <v>108</v>
      </c>
      <c r="D8" s="2" t="s">
        <v>168</v>
      </c>
      <c r="E8" s="2" t="s">
        <v>169</v>
      </c>
      <c r="F8" s="2" t="s">
        <v>23</v>
      </c>
      <c r="G8" s="2" t="s">
        <v>24</v>
      </c>
      <c r="H8" s="2" t="s">
        <v>37</v>
      </c>
      <c r="I8" s="3">
        <v>46262.4166666667</v>
      </c>
      <c r="J8" s="2" t="s">
        <v>150</v>
      </c>
      <c r="K8" s="2" t="s">
        <v>27</v>
      </c>
      <c r="L8" s="4">
        <v>88.94</v>
      </c>
      <c r="M8" s="5">
        <f t="shared" si="0"/>
        <v>4384.98</v>
      </c>
      <c r="N8" s="6">
        <v>390000</v>
      </c>
      <c r="O8" s="7">
        <v>54.787291</v>
      </c>
      <c r="P8" s="8">
        <f t="shared" si="1"/>
        <v>0.711843920152942</v>
      </c>
      <c r="Q8" s="6">
        <v>0</v>
      </c>
      <c r="R8" s="6">
        <v>0</v>
      </c>
      <c r="S8" s="9" t="s">
        <v>28</v>
      </c>
      <c r="T8" s="9" t="s">
        <v>170</v>
      </c>
    </row>
    <row r="9" hidden="1" spans="1:20">
      <c r="A9" s="2" t="s">
        <v>18</v>
      </c>
      <c r="B9" s="2" t="s">
        <v>19</v>
      </c>
      <c r="C9" s="2" t="s">
        <v>113</v>
      </c>
      <c r="D9" s="2" t="s">
        <v>171</v>
      </c>
      <c r="E9" s="2" t="s">
        <v>172</v>
      </c>
      <c r="F9" s="2" t="s">
        <v>23</v>
      </c>
      <c r="G9" s="2" t="s">
        <v>24</v>
      </c>
      <c r="H9" s="2" t="s">
        <v>37</v>
      </c>
      <c r="I9" s="3">
        <v>46265.4166666667</v>
      </c>
      <c r="J9" s="2" t="s">
        <v>150</v>
      </c>
      <c r="K9" s="2" t="s">
        <v>111</v>
      </c>
      <c r="L9" s="4">
        <v>125.38</v>
      </c>
      <c r="M9" s="5">
        <f t="shared" si="0"/>
        <v>8960</v>
      </c>
      <c r="N9" s="6">
        <v>1123405</v>
      </c>
      <c r="O9" s="7">
        <v>160.4864</v>
      </c>
      <c r="P9" s="8">
        <f t="shared" si="1"/>
        <v>0.700000124621152</v>
      </c>
      <c r="Q9" s="6">
        <v>0</v>
      </c>
      <c r="R9" s="6">
        <v>0</v>
      </c>
      <c r="S9" s="9" t="s">
        <v>28</v>
      </c>
      <c r="T9" s="9" t="s">
        <v>173</v>
      </c>
    </row>
    <row r="10" hidden="1" spans="1:20">
      <c r="A10" s="2" t="s">
        <v>18</v>
      </c>
      <c r="B10" s="2" t="s">
        <v>19</v>
      </c>
      <c r="C10" s="2" t="s">
        <v>113</v>
      </c>
      <c r="D10" s="2" t="s">
        <v>174</v>
      </c>
      <c r="E10" s="2" t="s">
        <v>175</v>
      </c>
      <c r="F10" s="2" t="s">
        <v>23</v>
      </c>
      <c r="G10" s="2" t="s">
        <v>24</v>
      </c>
      <c r="H10" s="2" t="s">
        <v>43</v>
      </c>
      <c r="I10" s="3">
        <v>46264.4166666667</v>
      </c>
      <c r="J10" s="2" t="s">
        <v>150</v>
      </c>
      <c r="K10" s="2" t="s">
        <v>111</v>
      </c>
      <c r="L10" s="4">
        <v>139.3</v>
      </c>
      <c r="M10" s="5">
        <f t="shared" si="0"/>
        <v>8008</v>
      </c>
      <c r="N10" s="6">
        <v>1115514.4</v>
      </c>
      <c r="O10" s="7">
        <v>111.55144</v>
      </c>
      <c r="P10" s="8">
        <f t="shared" si="1"/>
        <v>1</v>
      </c>
      <c r="Q10" s="6">
        <v>0</v>
      </c>
      <c r="R10" s="6">
        <v>0</v>
      </c>
      <c r="S10" s="9" t="s">
        <v>28</v>
      </c>
      <c r="T10" s="9" t="s">
        <v>176</v>
      </c>
    </row>
    <row r="11" hidden="1" spans="1:20">
      <c r="A11" s="2" t="s">
        <v>18</v>
      </c>
      <c r="B11" s="2" t="s">
        <v>19</v>
      </c>
      <c r="C11" s="2" t="s">
        <v>113</v>
      </c>
      <c r="D11" s="2" t="s">
        <v>177</v>
      </c>
      <c r="E11" s="2" t="s">
        <v>178</v>
      </c>
      <c r="F11" s="2" t="s">
        <v>23</v>
      </c>
      <c r="G11" s="2" t="s">
        <v>24</v>
      </c>
      <c r="H11" s="2" t="s">
        <v>37</v>
      </c>
      <c r="I11" s="3">
        <v>46262.4166666667</v>
      </c>
      <c r="J11" s="2" t="s">
        <v>150</v>
      </c>
      <c r="K11" s="2" t="s">
        <v>111</v>
      </c>
      <c r="L11" s="4">
        <v>89.49</v>
      </c>
      <c r="M11" s="5">
        <f t="shared" si="0"/>
        <v>6750.81</v>
      </c>
      <c r="N11" s="6">
        <v>604130</v>
      </c>
      <c r="O11" s="7">
        <v>86.3042</v>
      </c>
      <c r="P11" s="8">
        <f t="shared" si="1"/>
        <v>0.700000695215297</v>
      </c>
      <c r="Q11" s="6">
        <v>0</v>
      </c>
      <c r="R11" s="6">
        <v>0</v>
      </c>
      <c r="S11" s="9" t="s">
        <v>28</v>
      </c>
      <c r="T11" s="9" t="s">
        <v>179</v>
      </c>
    </row>
    <row r="12" hidden="1" spans="1:20">
      <c r="A12" s="2" t="s">
        <v>18</v>
      </c>
      <c r="B12" s="2" t="s">
        <v>19</v>
      </c>
      <c r="C12" s="2" t="s">
        <v>113</v>
      </c>
      <c r="D12" s="2" t="s">
        <v>180</v>
      </c>
      <c r="E12" s="2" t="s">
        <v>181</v>
      </c>
      <c r="F12" s="2" t="s">
        <v>23</v>
      </c>
      <c r="G12" s="2" t="s">
        <v>24</v>
      </c>
      <c r="H12" s="2" t="s">
        <v>25</v>
      </c>
      <c r="I12" s="3">
        <v>46262.4166666667</v>
      </c>
      <c r="J12" s="2" t="s">
        <v>150</v>
      </c>
      <c r="K12" s="2" t="s">
        <v>182</v>
      </c>
      <c r="L12" s="4">
        <v>47.31</v>
      </c>
      <c r="M12" s="5">
        <f t="shared" si="0"/>
        <v>8399.47</v>
      </c>
      <c r="N12" s="6">
        <v>397379</v>
      </c>
      <c r="O12" s="7">
        <v>70.960439</v>
      </c>
      <c r="P12" s="8">
        <f t="shared" si="1"/>
        <v>0.560000763242178</v>
      </c>
      <c r="Q12" s="6">
        <v>0</v>
      </c>
      <c r="R12" s="6">
        <v>0</v>
      </c>
      <c r="S12" s="9" t="s">
        <v>28</v>
      </c>
      <c r="T12" s="9" t="s">
        <v>183</v>
      </c>
    </row>
    <row r="13" hidden="1" spans="1:20">
      <c r="A13" s="2" t="s">
        <v>18</v>
      </c>
      <c r="B13" s="2" t="s">
        <v>19</v>
      </c>
      <c r="C13" s="2" t="s">
        <v>46</v>
      </c>
      <c r="D13" s="2" t="s">
        <v>184</v>
      </c>
      <c r="E13" s="2" t="s">
        <v>185</v>
      </c>
      <c r="F13" s="2" t="s">
        <v>23</v>
      </c>
      <c r="G13" s="2" t="s">
        <v>24</v>
      </c>
      <c r="H13" s="2" t="s">
        <v>37</v>
      </c>
      <c r="I13" s="3">
        <v>46263.4166666667</v>
      </c>
      <c r="J13" s="2" t="s">
        <v>150</v>
      </c>
      <c r="K13" s="2" t="s">
        <v>38</v>
      </c>
      <c r="L13" s="4">
        <v>108.23</v>
      </c>
      <c r="M13" s="5">
        <f t="shared" si="0"/>
        <v>8369.68</v>
      </c>
      <c r="N13" s="6">
        <v>905850</v>
      </c>
      <c r="O13" s="7">
        <v>113.231262</v>
      </c>
      <c r="P13" s="8">
        <f t="shared" si="1"/>
        <v>0.79999991521776</v>
      </c>
      <c r="Q13" s="6">
        <v>0</v>
      </c>
      <c r="R13" s="6">
        <v>0</v>
      </c>
      <c r="S13" s="9" t="s">
        <v>28</v>
      </c>
      <c r="T13" s="9" t="s">
        <v>186</v>
      </c>
    </row>
    <row r="14" hidden="1" spans="1:20">
      <c r="A14" s="2" t="s">
        <v>18</v>
      </c>
      <c r="B14" s="2" t="s">
        <v>19</v>
      </c>
      <c r="C14" s="2" t="s">
        <v>46</v>
      </c>
      <c r="D14" s="2" t="s">
        <v>187</v>
      </c>
      <c r="E14" s="2" t="s">
        <v>188</v>
      </c>
      <c r="F14" s="2" t="s">
        <v>42</v>
      </c>
      <c r="G14" s="2" t="s">
        <v>24</v>
      </c>
      <c r="H14" s="2" t="s">
        <v>37</v>
      </c>
      <c r="I14" s="3">
        <v>46263.4166666667</v>
      </c>
      <c r="J14" s="2" t="s">
        <v>150</v>
      </c>
      <c r="K14" s="2" t="s">
        <v>38</v>
      </c>
      <c r="L14" s="4">
        <v>64.66</v>
      </c>
      <c r="M14" s="5">
        <f t="shared" si="0"/>
        <v>3555.17</v>
      </c>
      <c r="N14" s="6">
        <v>229877</v>
      </c>
      <c r="O14" s="7">
        <v>28.734582</v>
      </c>
      <c r="P14" s="8">
        <f t="shared" si="1"/>
        <v>0.800001197163752</v>
      </c>
      <c r="Q14" s="6">
        <v>0</v>
      </c>
      <c r="R14" s="6">
        <v>0</v>
      </c>
      <c r="S14" s="9" t="s">
        <v>28</v>
      </c>
      <c r="T14" s="9" t="s">
        <v>189</v>
      </c>
    </row>
    <row r="15" hidden="1" spans="1:20">
      <c r="A15" s="2" t="s">
        <v>18</v>
      </c>
      <c r="B15" s="2" t="s">
        <v>19</v>
      </c>
      <c r="C15" s="2" t="s">
        <v>46</v>
      </c>
      <c r="D15" s="2" t="s">
        <v>190</v>
      </c>
      <c r="E15" s="2" t="s">
        <v>188</v>
      </c>
      <c r="F15" s="2" t="s">
        <v>42</v>
      </c>
      <c r="G15" s="2" t="s">
        <v>24</v>
      </c>
      <c r="H15" s="2" t="s">
        <v>37</v>
      </c>
      <c r="I15" s="3">
        <v>46263.4166666667</v>
      </c>
      <c r="J15" s="2" t="s">
        <v>150</v>
      </c>
      <c r="K15" s="2" t="s">
        <v>38</v>
      </c>
      <c r="L15" s="4">
        <v>64.66</v>
      </c>
      <c r="M15" s="5">
        <f t="shared" si="0"/>
        <v>3555.17</v>
      </c>
      <c r="N15" s="6">
        <v>229877</v>
      </c>
      <c r="O15" s="7">
        <v>28.734582</v>
      </c>
      <c r="P15" s="8">
        <f t="shared" si="1"/>
        <v>0.800001197163752</v>
      </c>
      <c r="Q15" s="6">
        <v>0</v>
      </c>
      <c r="R15" s="6">
        <v>0</v>
      </c>
      <c r="S15" s="9" t="s">
        <v>28</v>
      </c>
      <c r="T15" s="9" t="s">
        <v>191</v>
      </c>
    </row>
    <row r="16" hidden="1" spans="1:20">
      <c r="A16" s="2" t="s">
        <v>18</v>
      </c>
      <c r="B16" s="2" t="s">
        <v>19</v>
      </c>
      <c r="C16" s="2" t="s">
        <v>46</v>
      </c>
      <c r="D16" s="2" t="s">
        <v>192</v>
      </c>
      <c r="E16" s="2" t="s">
        <v>193</v>
      </c>
      <c r="F16" s="2" t="s">
        <v>23</v>
      </c>
      <c r="G16" s="2" t="s">
        <v>24</v>
      </c>
      <c r="H16" s="2" t="s">
        <v>37</v>
      </c>
      <c r="I16" s="3">
        <v>46262.4166666667</v>
      </c>
      <c r="J16" s="2" t="s">
        <v>150</v>
      </c>
      <c r="K16" s="2" t="s">
        <v>38</v>
      </c>
      <c r="L16" s="4">
        <v>154.03</v>
      </c>
      <c r="M16" s="5">
        <f t="shared" si="0"/>
        <v>5385</v>
      </c>
      <c r="N16" s="6">
        <v>829452</v>
      </c>
      <c r="O16" s="7">
        <v>92.161359</v>
      </c>
      <c r="P16" s="8">
        <f t="shared" si="1"/>
        <v>0.899999749352655</v>
      </c>
      <c r="Q16" s="6">
        <v>0</v>
      </c>
      <c r="R16" s="6">
        <v>0</v>
      </c>
      <c r="S16" s="9" t="s">
        <v>28</v>
      </c>
      <c r="T16" s="9" t="s">
        <v>194</v>
      </c>
    </row>
    <row r="17" hidden="1" spans="1:20">
      <c r="A17" s="2" t="s">
        <v>18</v>
      </c>
      <c r="B17" s="2" t="s">
        <v>19</v>
      </c>
      <c r="C17" s="2" t="s">
        <v>195</v>
      </c>
      <c r="D17" s="2" t="s">
        <v>196</v>
      </c>
      <c r="E17" s="2" t="s">
        <v>197</v>
      </c>
      <c r="F17" s="2" t="s">
        <v>23</v>
      </c>
      <c r="G17" s="2" t="s">
        <v>24</v>
      </c>
      <c r="H17" s="2" t="s">
        <v>37</v>
      </c>
      <c r="I17" s="3">
        <v>46262.4166666667</v>
      </c>
      <c r="J17" s="2" t="s">
        <v>150</v>
      </c>
      <c r="K17" s="2" t="s">
        <v>198</v>
      </c>
      <c r="L17" s="4">
        <v>136.17</v>
      </c>
      <c r="M17" s="5">
        <f t="shared" si="0"/>
        <v>15868</v>
      </c>
      <c r="N17" s="6">
        <v>2160746</v>
      </c>
      <c r="O17" s="7">
        <v>216.0746</v>
      </c>
      <c r="P17" s="8">
        <f t="shared" si="1"/>
        <v>1</v>
      </c>
      <c r="Q17" s="6">
        <v>0</v>
      </c>
      <c r="R17" s="6">
        <v>0</v>
      </c>
      <c r="S17" s="9" t="s">
        <v>28</v>
      </c>
      <c r="T17" s="9" t="s">
        <v>199</v>
      </c>
    </row>
    <row r="18" spans="1:20">
      <c r="A18" s="2" t="s">
        <v>18</v>
      </c>
      <c r="B18" s="2" t="s">
        <v>57</v>
      </c>
      <c r="C18" s="2" t="s">
        <v>58</v>
      </c>
      <c r="D18" s="2" t="s">
        <v>200</v>
      </c>
      <c r="E18" s="2" t="s">
        <v>201</v>
      </c>
      <c r="F18" s="2" t="s">
        <v>23</v>
      </c>
      <c r="G18" s="2" t="s">
        <v>24</v>
      </c>
      <c r="H18" s="2" t="s">
        <v>37</v>
      </c>
      <c r="I18" s="3">
        <v>46265.4166666667</v>
      </c>
      <c r="J18" s="2" t="s">
        <v>150</v>
      </c>
      <c r="K18" s="2" t="s">
        <v>61</v>
      </c>
      <c r="L18" s="4">
        <v>80.36</v>
      </c>
      <c r="M18" s="5">
        <f t="shared" si="0"/>
        <v>7466.4</v>
      </c>
      <c r="N18" s="6">
        <v>600000</v>
      </c>
      <c r="O18" s="7">
        <v>75</v>
      </c>
      <c r="P18" s="8">
        <f t="shared" si="1"/>
        <v>0.8</v>
      </c>
      <c r="Q18" s="6">
        <v>0</v>
      </c>
      <c r="R18" s="6">
        <v>0</v>
      </c>
      <c r="S18" s="9" t="s">
        <v>28</v>
      </c>
      <c r="T18" s="9" t="s">
        <v>202</v>
      </c>
    </row>
    <row r="19" spans="1:20">
      <c r="A19" s="2" t="s">
        <v>18</v>
      </c>
      <c r="B19" s="2" t="s">
        <v>57</v>
      </c>
      <c r="C19" s="2" t="s">
        <v>58</v>
      </c>
      <c r="D19" s="2" t="s">
        <v>203</v>
      </c>
      <c r="E19" s="2" t="s">
        <v>204</v>
      </c>
      <c r="F19" s="2" t="s">
        <v>23</v>
      </c>
      <c r="G19" s="2" t="s">
        <v>24</v>
      </c>
      <c r="H19" s="2" t="s">
        <v>37</v>
      </c>
      <c r="I19" s="3">
        <v>46265.4166666667</v>
      </c>
      <c r="J19" s="2" t="s">
        <v>150</v>
      </c>
      <c r="K19" s="2" t="s">
        <v>61</v>
      </c>
      <c r="L19" s="4">
        <v>97.75</v>
      </c>
      <c r="M19" s="5">
        <f t="shared" si="0"/>
        <v>7979.54</v>
      </c>
      <c r="N19" s="6">
        <v>780000</v>
      </c>
      <c r="O19" s="7">
        <v>96.96</v>
      </c>
      <c r="P19" s="8">
        <f t="shared" si="1"/>
        <v>0.804455445544555</v>
      </c>
      <c r="Q19" s="6">
        <v>0</v>
      </c>
      <c r="R19" s="6">
        <v>0</v>
      </c>
      <c r="S19" s="9" t="s">
        <v>28</v>
      </c>
      <c r="T19" s="9" t="s">
        <v>205</v>
      </c>
    </row>
    <row r="20" spans="1:20">
      <c r="A20" s="2" t="s">
        <v>18</v>
      </c>
      <c r="B20" s="2" t="s">
        <v>57</v>
      </c>
      <c r="C20" s="2" t="s">
        <v>58</v>
      </c>
      <c r="D20" s="2" t="s">
        <v>206</v>
      </c>
      <c r="E20" s="2" t="s">
        <v>207</v>
      </c>
      <c r="F20" s="2" t="s">
        <v>23</v>
      </c>
      <c r="G20" s="2" t="s">
        <v>24</v>
      </c>
      <c r="H20" s="2" t="s">
        <v>37</v>
      </c>
      <c r="I20" s="3">
        <v>46265.4166666667</v>
      </c>
      <c r="J20" s="2" t="s">
        <v>150</v>
      </c>
      <c r="K20" s="2" t="s">
        <v>132</v>
      </c>
      <c r="L20" s="4">
        <v>89.83</v>
      </c>
      <c r="M20" s="5">
        <f t="shared" si="0"/>
        <v>8994.77</v>
      </c>
      <c r="N20" s="6">
        <v>808000</v>
      </c>
      <c r="O20" s="7">
        <v>101</v>
      </c>
      <c r="P20" s="8">
        <f t="shared" si="1"/>
        <v>0.8</v>
      </c>
      <c r="Q20" s="6">
        <v>0</v>
      </c>
      <c r="R20" s="6">
        <v>0</v>
      </c>
      <c r="S20" s="9" t="s">
        <v>28</v>
      </c>
      <c r="T20" s="9" t="s">
        <v>208</v>
      </c>
    </row>
    <row r="21" spans="1:20">
      <c r="A21" s="2" t="s">
        <v>18</v>
      </c>
      <c r="B21" s="2" t="s">
        <v>57</v>
      </c>
      <c r="C21" s="2" t="s">
        <v>58</v>
      </c>
      <c r="D21" s="2" t="s">
        <v>209</v>
      </c>
      <c r="E21" s="2" t="s">
        <v>210</v>
      </c>
      <c r="F21" s="2" t="s">
        <v>42</v>
      </c>
      <c r="G21" s="2" t="s">
        <v>24</v>
      </c>
      <c r="H21" s="2" t="s">
        <v>37</v>
      </c>
      <c r="I21" s="3">
        <v>46265.4166666667</v>
      </c>
      <c r="J21" s="2" t="s">
        <v>150</v>
      </c>
      <c r="K21" s="2" t="s">
        <v>61</v>
      </c>
      <c r="L21" s="4">
        <v>20.04</v>
      </c>
      <c r="M21" s="5">
        <f t="shared" si="0"/>
        <v>9381.24</v>
      </c>
      <c r="N21" s="6">
        <v>188000</v>
      </c>
      <c r="O21" s="7">
        <v>26.75</v>
      </c>
      <c r="P21" s="8">
        <f t="shared" si="1"/>
        <v>0.702803738317757</v>
      </c>
      <c r="Q21" s="6">
        <v>0</v>
      </c>
      <c r="R21" s="6">
        <v>0</v>
      </c>
      <c r="S21" s="9" t="s">
        <v>28</v>
      </c>
      <c r="T21" s="9" t="s">
        <v>211</v>
      </c>
    </row>
    <row r="22" spans="1:20">
      <c r="A22" s="2" t="s">
        <v>18</v>
      </c>
      <c r="B22" s="2" t="s">
        <v>57</v>
      </c>
      <c r="C22" s="2" t="s">
        <v>58</v>
      </c>
      <c r="D22" s="2" t="s">
        <v>212</v>
      </c>
      <c r="E22" s="2" t="s">
        <v>213</v>
      </c>
      <c r="F22" s="2" t="s">
        <v>23</v>
      </c>
      <c r="G22" s="2" t="s">
        <v>24</v>
      </c>
      <c r="H22" s="2" t="s">
        <v>43</v>
      </c>
      <c r="I22" s="3">
        <v>46264.4166666667</v>
      </c>
      <c r="J22" s="2" t="s">
        <v>150</v>
      </c>
      <c r="K22" s="2" t="s">
        <v>61</v>
      </c>
      <c r="L22" s="4">
        <v>110.51</v>
      </c>
      <c r="M22" s="5">
        <f t="shared" si="0"/>
        <v>5700.84</v>
      </c>
      <c r="N22" s="6">
        <v>630000</v>
      </c>
      <c r="O22" s="7">
        <v>96.35</v>
      </c>
      <c r="P22" s="8">
        <f t="shared" si="1"/>
        <v>0.653866113129216</v>
      </c>
      <c r="Q22" s="6">
        <v>0</v>
      </c>
      <c r="R22" s="6">
        <v>0</v>
      </c>
      <c r="S22" s="9" t="s">
        <v>28</v>
      </c>
      <c r="T22" s="9" t="s">
        <v>214</v>
      </c>
    </row>
    <row r="23" spans="1:20">
      <c r="A23" s="2" t="s">
        <v>18</v>
      </c>
      <c r="B23" s="2" t="s">
        <v>57</v>
      </c>
      <c r="C23" s="2" t="s">
        <v>58</v>
      </c>
      <c r="D23" s="2" t="s">
        <v>215</v>
      </c>
      <c r="E23" s="2" t="s">
        <v>213</v>
      </c>
      <c r="F23" s="2" t="s">
        <v>23</v>
      </c>
      <c r="G23" s="2" t="s">
        <v>24</v>
      </c>
      <c r="H23" s="2" t="s">
        <v>43</v>
      </c>
      <c r="I23" s="3">
        <v>46264.4166666667</v>
      </c>
      <c r="J23" s="2" t="s">
        <v>150</v>
      </c>
      <c r="K23" s="2" t="s">
        <v>61</v>
      </c>
      <c r="L23" s="4">
        <v>61.66</v>
      </c>
      <c r="M23" s="5">
        <f t="shared" si="0"/>
        <v>6487.19</v>
      </c>
      <c r="N23" s="6">
        <v>400000</v>
      </c>
      <c r="O23" s="7">
        <v>61.86</v>
      </c>
      <c r="P23" s="8">
        <f t="shared" si="1"/>
        <v>0.646621403168445</v>
      </c>
      <c r="Q23" s="6">
        <v>0</v>
      </c>
      <c r="R23" s="6">
        <v>0</v>
      </c>
      <c r="S23" s="9" t="s">
        <v>28</v>
      </c>
      <c r="T23" s="9" t="s">
        <v>216</v>
      </c>
    </row>
    <row r="24" spans="1:20">
      <c r="A24" s="2" t="s">
        <v>18</v>
      </c>
      <c r="B24" s="2" t="s">
        <v>57</v>
      </c>
      <c r="C24" s="2" t="s">
        <v>58</v>
      </c>
      <c r="D24" s="2" t="s">
        <v>217</v>
      </c>
      <c r="E24" s="2" t="s">
        <v>213</v>
      </c>
      <c r="F24" s="2" t="s">
        <v>23</v>
      </c>
      <c r="G24" s="2" t="s">
        <v>24</v>
      </c>
      <c r="H24" s="2" t="s">
        <v>43</v>
      </c>
      <c r="I24" s="3">
        <v>46264.4166666667</v>
      </c>
      <c r="J24" s="2" t="s">
        <v>150</v>
      </c>
      <c r="K24" s="2" t="s">
        <v>61</v>
      </c>
      <c r="L24" s="4">
        <v>64.99</v>
      </c>
      <c r="M24" s="5">
        <f t="shared" si="0"/>
        <v>5539.31</v>
      </c>
      <c r="N24" s="6">
        <v>360000</v>
      </c>
      <c r="O24" s="7">
        <v>55.61</v>
      </c>
      <c r="P24" s="8">
        <f t="shared" si="1"/>
        <v>0.647365581729905</v>
      </c>
      <c r="Q24" s="6">
        <v>0</v>
      </c>
      <c r="R24" s="6">
        <v>0</v>
      </c>
      <c r="S24" s="9" t="s">
        <v>28</v>
      </c>
      <c r="T24" s="9" t="s">
        <v>218</v>
      </c>
    </row>
    <row r="25" spans="1:20">
      <c r="A25" s="2" t="s">
        <v>18</v>
      </c>
      <c r="B25" s="2" t="s">
        <v>57</v>
      </c>
      <c r="C25" s="2" t="s">
        <v>58</v>
      </c>
      <c r="D25" s="2" t="s">
        <v>219</v>
      </c>
      <c r="E25" s="2" t="s">
        <v>220</v>
      </c>
      <c r="F25" s="2" t="s">
        <v>23</v>
      </c>
      <c r="G25" s="2" t="s">
        <v>24</v>
      </c>
      <c r="H25" s="2" t="s">
        <v>37</v>
      </c>
      <c r="I25" s="3">
        <v>46263.4166666667</v>
      </c>
      <c r="J25" s="2" t="s">
        <v>150</v>
      </c>
      <c r="K25" s="2" t="s">
        <v>132</v>
      </c>
      <c r="L25" s="4">
        <v>128.03</v>
      </c>
      <c r="M25" s="5">
        <f t="shared" si="0"/>
        <v>8294.93</v>
      </c>
      <c r="N25" s="6">
        <v>1062000</v>
      </c>
      <c r="O25" s="7">
        <v>151.58752</v>
      </c>
      <c r="P25" s="8">
        <f t="shared" si="1"/>
        <v>0.700585378004733</v>
      </c>
      <c r="Q25" s="6">
        <v>0</v>
      </c>
      <c r="R25" s="6">
        <v>0</v>
      </c>
      <c r="S25" s="9" t="s">
        <v>28</v>
      </c>
      <c r="T25" s="9" t="s">
        <v>221</v>
      </c>
    </row>
    <row r="26" spans="1:20">
      <c r="A26" s="2" t="s">
        <v>18</v>
      </c>
      <c r="B26" s="2" t="s">
        <v>57</v>
      </c>
      <c r="C26" s="2" t="s">
        <v>222</v>
      </c>
      <c r="D26" s="2" t="s">
        <v>223</v>
      </c>
      <c r="E26" s="2" t="s">
        <v>224</v>
      </c>
      <c r="F26" s="2" t="s">
        <v>23</v>
      </c>
      <c r="G26" s="2" t="s">
        <v>24</v>
      </c>
      <c r="H26" s="2" t="s">
        <v>37</v>
      </c>
      <c r="I26" s="3">
        <v>46265.4166666667</v>
      </c>
      <c r="J26" s="2" t="s">
        <v>150</v>
      </c>
      <c r="K26" s="2" t="s">
        <v>61</v>
      </c>
      <c r="L26" s="4">
        <v>119.64</v>
      </c>
      <c r="M26" s="5">
        <f t="shared" si="0"/>
        <v>5934.47</v>
      </c>
      <c r="N26" s="6">
        <v>710000</v>
      </c>
      <c r="O26" s="7">
        <v>88.2824</v>
      </c>
      <c r="P26" s="8">
        <f t="shared" si="1"/>
        <v>0.804237311174141</v>
      </c>
      <c r="Q26" s="6">
        <v>0</v>
      </c>
      <c r="R26" s="6">
        <v>0</v>
      </c>
      <c r="S26" s="9" t="s">
        <v>28</v>
      </c>
      <c r="T26" s="9" t="s">
        <v>225</v>
      </c>
    </row>
    <row r="27" spans="1:20">
      <c r="A27" s="2" t="s">
        <v>18</v>
      </c>
      <c r="B27" s="2" t="s">
        <v>57</v>
      </c>
      <c r="C27" s="2" t="s">
        <v>222</v>
      </c>
      <c r="D27" s="2" t="s">
        <v>226</v>
      </c>
      <c r="E27" s="2" t="s">
        <v>227</v>
      </c>
      <c r="F27" s="2" t="s">
        <v>23</v>
      </c>
      <c r="G27" s="2" t="s">
        <v>24</v>
      </c>
      <c r="H27" s="2" t="s">
        <v>37</v>
      </c>
      <c r="I27" s="3">
        <v>46265.4166666667</v>
      </c>
      <c r="J27" s="2" t="s">
        <v>150</v>
      </c>
      <c r="K27" s="2" t="s">
        <v>61</v>
      </c>
      <c r="L27" s="4">
        <v>195.54</v>
      </c>
      <c r="M27" s="5">
        <f t="shared" si="0"/>
        <v>4234.43</v>
      </c>
      <c r="N27" s="6">
        <v>828000</v>
      </c>
      <c r="O27" s="7">
        <v>103.499343</v>
      </c>
      <c r="P27" s="8">
        <f t="shared" si="1"/>
        <v>0.800005078293106</v>
      </c>
      <c r="Q27" s="6">
        <v>0</v>
      </c>
      <c r="R27" s="6">
        <v>0</v>
      </c>
      <c r="S27" s="9" t="s">
        <v>28</v>
      </c>
      <c r="T27" s="9" t="s">
        <v>228</v>
      </c>
    </row>
    <row r="28" spans="1:20">
      <c r="A28" s="2" t="s">
        <v>18</v>
      </c>
      <c r="B28" s="2" t="s">
        <v>57</v>
      </c>
      <c r="C28" s="2" t="s">
        <v>222</v>
      </c>
      <c r="D28" s="2" t="s">
        <v>229</v>
      </c>
      <c r="E28" s="2" t="s">
        <v>230</v>
      </c>
      <c r="F28" s="2" t="s">
        <v>23</v>
      </c>
      <c r="G28" s="2" t="s">
        <v>24</v>
      </c>
      <c r="H28" s="2" t="s">
        <v>25</v>
      </c>
      <c r="I28" s="3">
        <v>46265.4166666667</v>
      </c>
      <c r="J28" s="2" t="s">
        <v>150</v>
      </c>
      <c r="K28" s="2" t="s">
        <v>74</v>
      </c>
      <c r="L28" s="4">
        <v>103.35</v>
      </c>
      <c r="M28" s="5">
        <f t="shared" si="0"/>
        <v>5019.64</v>
      </c>
      <c r="N28" s="6">
        <v>518780.24</v>
      </c>
      <c r="O28" s="7">
        <v>92.639329</v>
      </c>
      <c r="P28" s="8">
        <f t="shared" si="1"/>
        <v>0.559999997409308</v>
      </c>
      <c r="Q28" s="6">
        <v>0</v>
      </c>
      <c r="R28" s="6">
        <v>0</v>
      </c>
      <c r="S28" s="9" t="s">
        <v>28</v>
      </c>
      <c r="T28" s="9" t="s">
        <v>231</v>
      </c>
    </row>
    <row r="29" spans="1:20">
      <c r="A29" s="2" t="s">
        <v>18</v>
      </c>
      <c r="B29" s="2" t="s">
        <v>57</v>
      </c>
      <c r="C29" s="2" t="s">
        <v>222</v>
      </c>
      <c r="D29" s="2" t="s">
        <v>232</v>
      </c>
      <c r="E29" s="2" t="s">
        <v>233</v>
      </c>
      <c r="F29" s="2" t="s">
        <v>23</v>
      </c>
      <c r="G29" s="2" t="s">
        <v>24</v>
      </c>
      <c r="H29" s="2" t="s">
        <v>43</v>
      </c>
      <c r="I29" s="3">
        <v>46264.4166666667</v>
      </c>
      <c r="J29" s="2" t="s">
        <v>150</v>
      </c>
      <c r="K29" s="2" t="s">
        <v>61</v>
      </c>
      <c r="L29" s="4">
        <v>129.88</v>
      </c>
      <c r="M29" s="5">
        <f t="shared" si="0"/>
        <v>8192.18</v>
      </c>
      <c r="N29" s="6">
        <v>1064000</v>
      </c>
      <c r="O29" s="7">
        <v>165.73</v>
      </c>
      <c r="P29" s="8">
        <f t="shared" si="1"/>
        <v>0.642008085440174</v>
      </c>
      <c r="Q29" s="6">
        <v>0</v>
      </c>
      <c r="R29" s="6">
        <v>0</v>
      </c>
      <c r="S29" s="9" t="s">
        <v>28</v>
      </c>
      <c r="T29" s="9" t="s">
        <v>234</v>
      </c>
    </row>
    <row r="30" spans="1:20">
      <c r="A30" s="2" t="s">
        <v>18</v>
      </c>
      <c r="B30" s="2" t="s">
        <v>57</v>
      </c>
      <c r="C30" s="2" t="s">
        <v>222</v>
      </c>
      <c r="D30" s="2" t="s">
        <v>235</v>
      </c>
      <c r="E30" s="2" t="s">
        <v>236</v>
      </c>
      <c r="F30" s="2" t="s">
        <v>23</v>
      </c>
      <c r="G30" s="2" t="s">
        <v>24</v>
      </c>
      <c r="H30" s="2" t="s">
        <v>43</v>
      </c>
      <c r="I30" s="3">
        <v>46264.4166666667</v>
      </c>
      <c r="J30" s="2" t="s">
        <v>150</v>
      </c>
      <c r="K30" s="2" t="s">
        <v>61</v>
      </c>
      <c r="L30" s="4">
        <v>88.87</v>
      </c>
      <c r="M30" s="5">
        <f t="shared" si="0"/>
        <v>4680.99</v>
      </c>
      <c r="N30" s="6">
        <v>416000</v>
      </c>
      <c r="O30" s="7">
        <v>64.8751</v>
      </c>
      <c r="P30" s="8">
        <f t="shared" si="1"/>
        <v>0.641232152243311</v>
      </c>
      <c r="Q30" s="6">
        <v>0</v>
      </c>
      <c r="R30" s="6">
        <v>0</v>
      </c>
      <c r="S30" s="9" t="s">
        <v>28</v>
      </c>
      <c r="T30" s="9" t="s">
        <v>237</v>
      </c>
    </row>
    <row r="31" spans="1:20">
      <c r="A31" s="2" t="s">
        <v>18</v>
      </c>
      <c r="B31" s="2" t="s">
        <v>57</v>
      </c>
      <c r="C31" s="2" t="s">
        <v>63</v>
      </c>
      <c r="D31" s="2" t="s">
        <v>238</v>
      </c>
      <c r="E31" s="2" t="s">
        <v>239</v>
      </c>
      <c r="F31" s="2" t="s">
        <v>23</v>
      </c>
      <c r="G31" s="2" t="s">
        <v>24</v>
      </c>
      <c r="H31" s="2" t="s">
        <v>43</v>
      </c>
      <c r="I31" s="3">
        <v>46264.4166666667</v>
      </c>
      <c r="J31" s="2" t="s">
        <v>150</v>
      </c>
      <c r="K31" s="2" t="s">
        <v>61</v>
      </c>
      <c r="L31" s="4">
        <v>95.35</v>
      </c>
      <c r="M31" s="5">
        <f t="shared" si="0"/>
        <v>7341.37</v>
      </c>
      <c r="N31" s="6">
        <v>700000</v>
      </c>
      <c r="O31" s="7">
        <v>107.74</v>
      </c>
      <c r="P31" s="8">
        <f t="shared" si="1"/>
        <v>0.649712270280304</v>
      </c>
      <c r="Q31" s="6">
        <v>0</v>
      </c>
      <c r="R31" s="6">
        <v>0</v>
      </c>
      <c r="S31" s="9" t="s">
        <v>28</v>
      </c>
      <c r="T31" s="9" t="s">
        <v>240</v>
      </c>
    </row>
    <row r="32" spans="1:20">
      <c r="A32" s="2" t="s">
        <v>18</v>
      </c>
      <c r="B32" s="2" t="s">
        <v>57</v>
      </c>
      <c r="C32" s="2" t="s">
        <v>63</v>
      </c>
      <c r="D32" s="2" t="s">
        <v>241</v>
      </c>
      <c r="E32" s="2" t="s">
        <v>242</v>
      </c>
      <c r="F32" s="2" t="s">
        <v>23</v>
      </c>
      <c r="G32" s="2" t="s">
        <v>24</v>
      </c>
      <c r="H32" s="2" t="s">
        <v>43</v>
      </c>
      <c r="I32" s="3">
        <v>46264.4166666667</v>
      </c>
      <c r="J32" s="2" t="s">
        <v>150</v>
      </c>
      <c r="K32" s="2" t="s">
        <v>61</v>
      </c>
      <c r="L32" s="4">
        <v>120.37</v>
      </c>
      <c r="M32" s="5">
        <f t="shared" si="0"/>
        <v>6313.87</v>
      </c>
      <c r="N32" s="6">
        <v>760000</v>
      </c>
      <c r="O32" s="7">
        <v>116.4</v>
      </c>
      <c r="P32" s="8">
        <f t="shared" si="1"/>
        <v>0.652920962199313</v>
      </c>
      <c r="Q32" s="6">
        <v>0</v>
      </c>
      <c r="R32" s="6">
        <v>0</v>
      </c>
      <c r="S32" s="9" t="s">
        <v>28</v>
      </c>
      <c r="T32" s="9" t="s">
        <v>243</v>
      </c>
    </row>
    <row r="33" spans="1:20">
      <c r="A33" s="2" t="s">
        <v>18</v>
      </c>
      <c r="B33" s="2" t="s">
        <v>57</v>
      </c>
      <c r="C33" s="2" t="s">
        <v>63</v>
      </c>
      <c r="D33" s="2" t="s">
        <v>244</v>
      </c>
      <c r="E33" s="2" t="s">
        <v>245</v>
      </c>
      <c r="F33" s="2" t="s">
        <v>23</v>
      </c>
      <c r="G33" s="2" t="s">
        <v>24</v>
      </c>
      <c r="H33" s="2" t="s">
        <v>25</v>
      </c>
      <c r="I33" s="3">
        <v>46264.4166666667</v>
      </c>
      <c r="J33" s="2" t="s">
        <v>150</v>
      </c>
      <c r="K33" s="2" t="s">
        <v>74</v>
      </c>
      <c r="L33" s="4">
        <v>123.95</v>
      </c>
      <c r="M33" s="5">
        <f t="shared" si="0"/>
        <v>6735.03</v>
      </c>
      <c r="N33" s="6">
        <v>834806.56</v>
      </c>
      <c r="O33" s="7">
        <v>149.0726</v>
      </c>
      <c r="P33" s="8">
        <f t="shared" si="1"/>
        <v>0.56</v>
      </c>
      <c r="Q33" s="6">
        <v>0</v>
      </c>
      <c r="R33" s="6">
        <v>0</v>
      </c>
      <c r="S33" s="9" t="s">
        <v>28</v>
      </c>
      <c r="T33" s="9" t="s">
        <v>246</v>
      </c>
    </row>
    <row r="34" spans="1:20">
      <c r="A34" s="2" t="s">
        <v>18</v>
      </c>
      <c r="B34" s="2" t="s">
        <v>57</v>
      </c>
      <c r="C34" s="2" t="s">
        <v>67</v>
      </c>
      <c r="D34" s="2" t="s">
        <v>247</v>
      </c>
      <c r="E34" s="2" t="s">
        <v>248</v>
      </c>
      <c r="F34" s="2" t="s">
        <v>23</v>
      </c>
      <c r="G34" s="2" t="s">
        <v>24</v>
      </c>
      <c r="H34" s="2" t="s">
        <v>37</v>
      </c>
      <c r="I34" s="3">
        <v>46265.4166666667</v>
      </c>
      <c r="J34" s="2" t="s">
        <v>150</v>
      </c>
      <c r="K34" s="2" t="s">
        <v>61</v>
      </c>
      <c r="L34" s="4">
        <v>90.54</v>
      </c>
      <c r="M34" s="5">
        <f t="shared" si="0"/>
        <v>8504.53</v>
      </c>
      <c r="N34" s="6">
        <v>770000</v>
      </c>
      <c r="O34" s="7">
        <v>95.0308</v>
      </c>
      <c r="P34" s="8">
        <f t="shared" si="1"/>
        <v>0.810263619794846</v>
      </c>
      <c r="Q34" s="6">
        <v>0</v>
      </c>
      <c r="R34" s="6">
        <v>0</v>
      </c>
      <c r="S34" s="9" t="s">
        <v>28</v>
      </c>
      <c r="T34" s="9" t="s">
        <v>249</v>
      </c>
    </row>
    <row r="35" spans="1:20">
      <c r="A35" s="2" t="s">
        <v>18</v>
      </c>
      <c r="B35" s="2" t="s">
        <v>57</v>
      </c>
      <c r="C35" s="2" t="s">
        <v>67</v>
      </c>
      <c r="D35" s="2" t="s">
        <v>250</v>
      </c>
      <c r="E35" s="2" t="s">
        <v>248</v>
      </c>
      <c r="F35" s="2" t="s">
        <v>23</v>
      </c>
      <c r="G35" s="2" t="s">
        <v>24</v>
      </c>
      <c r="H35" s="2" t="s">
        <v>43</v>
      </c>
      <c r="I35" s="3">
        <v>46264.4166666667</v>
      </c>
      <c r="J35" s="2" t="s">
        <v>150</v>
      </c>
      <c r="K35" s="2" t="s">
        <v>61</v>
      </c>
      <c r="L35" s="4">
        <v>86.7</v>
      </c>
      <c r="M35" s="5">
        <f t="shared" si="0"/>
        <v>6828.14</v>
      </c>
      <c r="N35" s="6">
        <v>592000</v>
      </c>
      <c r="O35" s="7">
        <v>91.94</v>
      </c>
      <c r="P35" s="8">
        <f t="shared" si="1"/>
        <v>0.643898194474657</v>
      </c>
      <c r="Q35" s="6">
        <v>0</v>
      </c>
      <c r="R35" s="6">
        <v>0</v>
      </c>
      <c r="S35" s="9" t="s">
        <v>28</v>
      </c>
      <c r="T35" s="9" t="s">
        <v>251</v>
      </c>
    </row>
    <row r="36" spans="1:20">
      <c r="A36" s="2" t="s">
        <v>18</v>
      </c>
      <c r="B36" s="2" t="s">
        <v>57</v>
      </c>
      <c r="C36" s="2" t="s">
        <v>67</v>
      </c>
      <c r="D36" s="2" t="s">
        <v>252</v>
      </c>
      <c r="E36" s="2" t="s">
        <v>253</v>
      </c>
      <c r="F36" s="2" t="s">
        <v>23</v>
      </c>
      <c r="G36" s="2" t="s">
        <v>24</v>
      </c>
      <c r="H36" s="2" t="s">
        <v>25</v>
      </c>
      <c r="I36" s="3">
        <v>46264.4166666667</v>
      </c>
      <c r="J36" s="2" t="s">
        <v>150</v>
      </c>
      <c r="K36" s="2" t="s">
        <v>74</v>
      </c>
      <c r="L36" s="4">
        <v>104.94</v>
      </c>
      <c r="M36" s="5">
        <f t="shared" si="0"/>
        <v>8103.3</v>
      </c>
      <c r="N36" s="6">
        <v>850360</v>
      </c>
      <c r="O36" s="7">
        <v>151.85</v>
      </c>
      <c r="P36" s="8">
        <f t="shared" si="1"/>
        <v>0.56</v>
      </c>
      <c r="Q36" s="6">
        <v>0</v>
      </c>
      <c r="R36" s="6">
        <v>0</v>
      </c>
      <c r="S36" s="9" t="s">
        <v>28</v>
      </c>
      <c r="T36" s="9" t="s">
        <v>254</v>
      </c>
    </row>
    <row r="37" spans="1:20">
      <c r="A37" s="2" t="s">
        <v>18</v>
      </c>
      <c r="B37" s="2" t="s">
        <v>57</v>
      </c>
      <c r="C37" s="2" t="s">
        <v>71</v>
      </c>
      <c r="D37" s="2" t="s">
        <v>255</v>
      </c>
      <c r="E37" s="2" t="s">
        <v>256</v>
      </c>
      <c r="F37" s="2" t="s">
        <v>23</v>
      </c>
      <c r="G37" s="2" t="s">
        <v>24</v>
      </c>
      <c r="H37" s="2" t="s">
        <v>37</v>
      </c>
      <c r="I37" s="3">
        <v>46265.4166666667</v>
      </c>
      <c r="J37" s="2" t="s">
        <v>150</v>
      </c>
      <c r="K37" s="2" t="s">
        <v>61</v>
      </c>
      <c r="L37" s="4">
        <v>89.95</v>
      </c>
      <c r="M37" s="5">
        <f t="shared" si="0"/>
        <v>5480.82</v>
      </c>
      <c r="N37" s="6">
        <v>493000</v>
      </c>
      <c r="O37" s="7">
        <v>61.56</v>
      </c>
      <c r="P37" s="8">
        <f t="shared" si="1"/>
        <v>0.800844704353476</v>
      </c>
      <c r="Q37" s="6">
        <v>0</v>
      </c>
      <c r="R37" s="6">
        <v>0</v>
      </c>
      <c r="S37" s="9" t="s">
        <v>28</v>
      </c>
      <c r="T37" s="9" t="s">
        <v>257</v>
      </c>
    </row>
    <row r="38" spans="1:20">
      <c r="A38" s="2" t="s">
        <v>18</v>
      </c>
      <c r="B38" s="2" t="s">
        <v>57</v>
      </c>
      <c r="C38" s="2" t="s">
        <v>71</v>
      </c>
      <c r="D38" s="2" t="s">
        <v>258</v>
      </c>
      <c r="E38" s="2" t="s">
        <v>73</v>
      </c>
      <c r="F38" s="2" t="s">
        <v>23</v>
      </c>
      <c r="G38" s="2" t="s">
        <v>24</v>
      </c>
      <c r="H38" s="2" t="s">
        <v>37</v>
      </c>
      <c r="I38" s="3">
        <v>46265.4166666667</v>
      </c>
      <c r="J38" s="2" t="s">
        <v>150</v>
      </c>
      <c r="K38" s="2" t="s">
        <v>61</v>
      </c>
      <c r="L38" s="4">
        <v>118.33</v>
      </c>
      <c r="M38" s="5">
        <f t="shared" si="0"/>
        <v>7183.3</v>
      </c>
      <c r="N38" s="6">
        <v>850000</v>
      </c>
      <c r="O38" s="7">
        <v>105.96</v>
      </c>
      <c r="P38" s="8">
        <f t="shared" si="1"/>
        <v>0.802189505473764</v>
      </c>
      <c r="Q38" s="6">
        <v>0</v>
      </c>
      <c r="R38" s="6">
        <v>0</v>
      </c>
      <c r="S38" s="9" t="s">
        <v>28</v>
      </c>
      <c r="T38" s="9" t="s">
        <v>259</v>
      </c>
    </row>
    <row r="39" spans="1:20">
      <c r="A39" s="2" t="s">
        <v>18</v>
      </c>
      <c r="B39" s="2" t="s">
        <v>57</v>
      </c>
      <c r="C39" s="2" t="s">
        <v>71</v>
      </c>
      <c r="D39" s="2" t="s">
        <v>260</v>
      </c>
      <c r="E39" s="2" t="s">
        <v>261</v>
      </c>
      <c r="F39" s="2" t="s">
        <v>23</v>
      </c>
      <c r="G39" s="2" t="s">
        <v>24</v>
      </c>
      <c r="H39" s="2" t="s">
        <v>25</v>
      </c>
      <c r="I39" s="3">
        <v>46265.4166666667</v>
      </c>
      <c r="J39" s="2" t="s">
        <v>150</v>
      </c>
      <c r="K39" s="2" t="s">
        <v>74</v>
      </c>
      <c r="L39" s="4">
        <v>112.01</v>
      </c>
      <c r="M39" s="5">
        <f t="shared" si="0"/>
        <v>5936.79</v>
      </c>
      <c r="N39" s="6">
        <v>664979.84</v>
      </c>
      <c r="O39" s="7">
        <v>118.7464</v>
      </c>
      <c r="P39" s="8">
        <f t="shared" si="1"/>
        <v>0.56</v>
      </c>
      <c r="Q39" s="6">
        <v>0</v>
      </c>
      <c r="R39" s="6">
        <v>0</v>
      </c>
      <c r="S39" s="9" t="s">
        <v>28</v>
      </c>
      <c r="T39" s="9" t="s">
        <v>262</v>
      </c>
    </row>
    <row r="40" spans="1:20">
      <c r="A40" s="2" t="s">
        <v>18</v>
      </c>
      <c r="B40" s="2" t="s">
        <v>57</v>
      </c>
      <c r="C40" s="2" t="s">
        <v>71</v>
      </c>
      <c r="D40" s="2" t="s">
        <v>263</v>
      </c>
      <c r="E40" s="2" t="s">
        <v>264</v>
      </c>
      <c r="F40" s="2" t="s">
        <v>23</v>
      </c>
      <c r="G40" s="2" t="s">
        <v>24</v>
      </c>
      <c r="H40" s="2" t="s">
        <v>25</v>
      </c>
      <c r="I40" s="3">
        <v>46264.4166666667</v>
      </c>
      <c r="J40" s="2" t="s">
        <v>150</v>
      </c>
      <c r="K40" s="2" t="s">
        <v>74</v>
      </c>
      <c r="L40" s="4">
        <v>87.92</v>
      </c>
      <c r="M40" s="5">
        <f t="shared" si="0"/>
        <v>4695.54</v>
      </c>
      <c r="N40" s="6">
        <v>412832</v>
      </c>
      <c r="O40" s="7">
        <v>73.72</v>
      </c>
      <c r="P40" s="8">
        <f t="shared" si="1"/>
        <v>0.56</v>
      </c>
      <c r="Q40" s="6">
        <v>0</v>
      </c>
      <c r="R40" s="6">
        <v>0</v>
      </c>
      <c r="S40" s="9" t="s">
        <v>28</v>
      </c>
      <c r="T40" s="9" t="s">
        <v>265</v>
      </c>
    </row>
    <row r="41" spans="1:20">
      <c r="A41" s="2" t="s">
        <v>18</v>
      </c>
      <c r="B41" s="2" t="s">
        <v>57</v>
      </c>
      <c r="C41" s="2" t="s">
        <v>71</v>
      </c>
      <c r="D41" s="2" t="s">
        <v>266</v>
      </c>
      <c r="E41" s="2" t="s">
        <v>267</v>
      </c>
      <c r="F41" s="2" t="s">
        <v>23</v>
      </c>
      <c r="G41" s="2" t="s">
        <v>24</v>
      </c>
      <c r="H41" s="2" t="s">
        <v>37</v>
      </c>
      <c r="I41" s="3">
        <v>46263.4166666667</v>
      </c>
      <c r="J41" s="2" t="s">
        <v>150</v>
      </c>
      <c r="K41" s="2" t="s">
        <v>132</v>
      </c>
      <c r="L41" s="4">
        <v>146.61</v>
      </c>
      <c r="M41" s="5">
        <f t="shared" si="0"/>
        <v>5327.06</v>
      </c>
      <c r="N41" s="6">
        <v>781000</v>
      </c>
      <c r="O41" s="7">
        <v>104.0931</v>
      </c>
      <c r="P41" s="8">
        <f t="shared" si="1"/>
        <v>0.75028988472819</v>
      </c>
      <c r="Q41" s="6">
        <v>0</v>
      </c>
      <c r="R41" s="6">
        <v>0</v>
      </c>
      <c r="S41" s="9" t="s">
        <v>28</v>
      </c>
      <c r="T41" s="9" t="s">
        <v>268</v>
      </c>
    </row>
    <row r="42" spans="1:20">
      <c r="A42" s="2" t="s">
        <v>18</v>
      </c>
      <c r="B42" s="2" t="s">
        <v>57</v>
      </c>
      <c r="C42" s="2" t="s">
        <v>71</v>
      </c>
      <c r="D42" s="2" t="s">
        <v>269</v>
      </c>
      <c r="E42" s="2" t="s">
        <v>270</v>
      </c>
      <c r="F42" s="2" t="s">
        <v>23</v>
      </c>
      <c r="G42" s="2" t="s">
        <v>24</v>
      </c>
      <c r="H42" s="2" t="s">
        <v>37</v>
      </c>
      <c r="I42" s="3">
        <v>46263.4166666667</v>
      </c>
      <c r="J42" s="2" t="s">
        <v>150</v>
      </c>
      <c r="K42" s="2" t="s">
        <v>74</v>
      </c>
      <c r="L42" s="4">
        <v>133.13</v>
      </c>
      <c r="M42" s="5">
        <f t="shared" si="0"/>
        <v>3137.99</v>
      </c>
      <c r="N42" s="6">
        <v>417760</v>
      </c>
      <c r="O42" s="7">
        <v>59.68</v>
      </c>
      <c r="P42" s="8">
        <f t="shared" si="1"/>
        <v>0.7</v>
      </c>
      <c r="Q42" s="6">
        <v>0</v>
      </c>
      <c r="R42" s="6">
        <v>0</v>
      </c>
      <c r="S42" s="9" t="s">
        <v>28</v>
      </c>
      <c r="T42" s="9" t="s">
        <v>271</v>
      </c>
    </row>
    <row r="43" spans="1:20">
      <c r="A43" s="2" t="s">
        <v>18</v>
      </c>
      <c r="B43" s="2" t="s">
        <v>57</v>
      </c>
      <c r="C43" s="2" t="s">
        <v>71</v>
      </c>
      <c r="D43" s="2" t="s">
        <v>272</v>
      </c>
      <c r="E43" s="2" t="s">
        <v>273</v>
      </c>
      <c r="F43" s="2" t="s">
        <v>23</v>
      </c>
      <c r="G43" s="2" t="s">
        <v>24</v>
      </c>
      <c r="H43" s="2" t="s">
        <v>37</v>
      </c>
      <c r="I43" s="3">
        <v>46263.4166666667</v>
      </c>
      <c r="J43" s="2" t="s">
        <v>150</v>
      </c>
      <c r="K43" s="2" t="s">
        <v>74</v>
      </c>
      <c r="L43" s="4">
        <v>71.6</v>
      </c>
      <c r="M43" s="5">
        <f t="shared" si="0"/>
        <v>3695.53</v>
      </c>
      <c r="N43" s="6">
        <v>264600</v>
      </c>
      <c r="O43" s="7">
        <v>37.8</v>
      </c>
      <c r="P43" s="8">
        <f t="shared" si="1"/>
        <v>0.7</v>
      </c>
      <c r="Q43" s="6">
        <v>0</v>
      </c>
      <c r="R43" s="6">
        <v>0</v>
      </c>
      <c r="S43" s="9" t="s">
        <v>28</v>
      </c>
      <c r="T43" s="9" t="s">
        <v>274</v>
      </c>
    </row>
    <row r="44" spans="1:20">
      <c r="A44" s="2" t="s">
        <v>18</v>
      </c>
      <c r="B44" s="2" t="s">
        <v>57</v>
      </c>
      <c r="C44" s="2" t="s">
        <v>137</v>
      </c>
      <c r="D44" s="2" t="s">
        <v>275</v>
      </c>
      <c r="E44" s="2" t="s">
        <v>276</v>
      </c>
      <c r="F44" s="2" t="s">
        <v>23</v>
      </c>
      <c r="G44" s="2" t="s">
        <v>24</v>
      </c>
      <c r="H44" s="2" t="s">
        <v>37</v>
      </c>
      <c r="I44" s="3">
        <v>46265.4166666667</v>
      </c>
      <c r="J44" s="2" t="s">
        <v>150</v>
      </c>
      <c r="K44" s="2" t="s">
        <v>111</v>
      </c>
      <c r="L44" s="4">
        <v>161.84</v>
      </c>
      <c r="M44" s="5">
        <f t="shared" si="0"/>
        <v>3049.31</v>
      </c>
      <c r="N44" s="6">
        <v>493500</v>
      </c>
      <c r="O44" s="7">
        <v>70.5</v>
      </c>
      <c r="P44" s="8">
        <f t="shared" si="1"/>
        <v>0.7</v>
      </c>
      <c r="Q44" s="6">
        <v>0</v>
      </c>
      <c r="R44" s="6">
        <v>0</v>
      </c>
      <c r="S44" s="9" t="s">
        <v>28</v>
      </c>
      <c r="T44" s="9" t="s">
        <v>277</v>
      </c>
    </row>
    <row r="45" spans="1:20">
      <c r="A45" s="2" t="s">
        <v>18</v>
      </c>
      <c r="B45" s="2" t="s">
        <v>57</v>
      </c>
      <c r="C45" s="2" t="s">
        <v>137</v>
      </c>
      <c r="D45" s="2" t="s">
        <v>278</v>
      </c>
      <c r="E45" s="2" t="s">
        <v>279</v>
      </c>
      <c r="F45" s="2" t="s">
        <v>23</v>
      </c>
      <c r="G45" s="2" t="s">
        <v>24</v>
      </c>
      <c r="H45" s="2" t="s">
        <v>25</v>
      </c>
      <c r="I45" s="3">
        <v>46265.4166666667</v>
      </c>
      <c r="J45" s="2" t="s">
        <v>150</v>
      </c>
      <c r="K45" s="2" t="s">
        <v>132</v>
      </c>
      <c r="L45" s="4">
        <v>124.29</v>
      </c>
      <c r="M45" s="5">
        <f t="shared" si="0"/>
        <v>3072.01</v>
      </c>
      <c r="N45" s="6">
        <v>381820</v>
      </c>
      <c r="O45" s="7">
        <v>59.6592</v>
      </c>
      <c r="P45" s="8">
        <f t="shared" si="1"/>
        <v>0.640001877329901</v>
      </c>
      <c r="Q45" s="6">
        <v>0</v>
      </c>
      <c r="R45" s="6">
        <v>0</v>
      </c>
      <c r="S45" s="9" t="s">
        <v>28</v>
      </c>
      <c r="T45" s="9" t="s">
        <v>280</v>
      </c>
    </row>
    <row r="46" spans="1:20">
      <c r="A46" s="2" t="s">
        <v>18</v>
      </c>
      <c r="B46" s="2" t="s">
        <v>57</v>
      </c>
      <c r="C46" s="2" t="s">
        <v>137</v>
      </c>
      <c r="D46" s="2" t="s">
        <v>281</v>
      </c>
      <c r="E46" s="2" t="s">
        <v>282</v>
      </c>
      <c r="F46" s="2" t="s">
        <v>23</v>
      </c>
      <c r="G46" s="2" t="s">
        <v>24</v>
      </c>
      <c r="H46" s="2" t="s">
        <v>25</v>
      </c>
      <c r="I46" s="3">
        <v>46264.4166666667</v>
      </c>
      <c r="J46" s="2" t="s">
        <v>150</v>
      </c>
      <c r="K46" s="2" t="s">
        <v>132</v>
      </c>
      <c r="L46" s="4">
        <v>106.27</v>
      </c>
      <c r="M46" s="5">
        <f t="shared" si="0"/>
        <v>2912.01</v>
      </c>
      <c r="N46" s="6">
        <v>309459</v>
      </c>
      <c r="O46" s="7">
        <v>55.2604</v>
      </c>
      <c r="P46" s="8">
        <f t="shared" si="1"/>
        <v>0.56000137530673</v>
      </c>
      <c r="Q46" s="6">
        <v>0</v>
      </c>
      <c r="R46" s="6">
        <v>0</v>
      </c>
      <c r="S46" s="9" t="s">
        <v>28</v>
      </c>
      <c r="T46" s="9" t="s">
        <v>283</v>
      </c>
    </row>
    <row r="47" spans="1:20">
      <c r="A47" s="2" t="s">
        <v>18</v>
      </c>
      <c r="B47" s="2" t="s">
        <v>57</v>
      </c>
      <c r="C47" s="2" t="s">
        <v>137</v>
      </c>
      <c r="D47" s="2" t="s">
        <v>284</v>
      </c>
      <c r="E47" s="2" t="s">
        <v>285</v>
      </c>
      <c r="F47" s="2" t="s">
        <v>23</v>
      </c>
      <c r="G47" s="2" t="s">
        <v>24</v>
      </c>
      <c r="H47" s="2" t="s">
        <v>25</v>
      </c>
      <c r="I47" s="3">
        <v>46264.4166666667</v>
      </c>
      <c r="J47" s="2" t="s">
        <v>150</v>
      </c>
      <c r="K47" s="2" t="s">
        <v>132</v>
      </c>
      <c r="L47" s="4">
        <v>140.96</v>
      </c>
      <c r="M47" s="5">
        <f t="shared" si="0"/>
        <v>2236.55</v>
      </c>
      <c r="N47" s="6">
        <v>315264</v>
      </c>
      <c r="O47" s="7">
        <v>49.26</v>
      </c>
      <c r="P47" s="8">
        <f t="shared" si="1"/>
        <v>0.64</v>
      </c>
      <c r="Q47" s="6">
        <v>0</v>
      </c>
      <c r="R47" s="6">
        <v>0</v>
      </c>
      <c r="S47" s="9" t="s">
        <v>28</v>
      </c>
      <c r="T47" s="9" t="s">
        <v>286</v>
      </c>
    </row>
    <row r="48" spans="1:20">
      <c r="A48" s="2" t="s">
        <v>18</v>
      </c>
      <c r="B48" s="2" t="s">
        <v>57</v>
      </c>
      <c r="C48" s="2" t="s">
        <v>137</v>
      </c>
      <c r="D48" s="2" t="s">
        <v>287</v>
      </c>
      <c r="E48" s="2" t="s">
        <v>288</v>
      </c>
      <c r="F48" s="2" t="s">
        <v>289</v>
      </c>
      <c r="G48" s="2" t="s">
        <v>24</v>
      </c>
      <c r="H48" s="2" t="s">
        <v>25</v>
      </c>
      <c r="I48" s="3">
        <v>46264.4166666667</v>
      </c>
      <c r="J48" s="2" t="s">
        <v>150</v>
      </c>
      <c r="K48" s="2" t="s">
        <v>132</v>
      </c>
      <c r="L48" s="4">
        <v>145.95</v>
      </c>
      <c r="M48" s="5">
        <f t="shared" si="0"/>
        <v>2865.26</v>
      </c>
      <c r="N48" s="6">
        <v>418184</v>
      </c>
      <c r="O48" s="7">
        <v>74.6757</v>
      </c>
      <c r="P48" s="8">
        <f t="shared" si="1"/>
        <v>0.560000107129896</v>
      </c>
      <c r="Q48" s="6">
        <v>0</v>
      </c>
      <c r="R48" s="6">
        <v>0</v>
      </c>
      <c r="S48" s="9" t="s">
        <v>28</v>
      </c>
      <c r="T48" s="9" t="s">
        <v>290</v>
      </c>
    </row>
    <row r="49" spans="1:20">
      <c r="A49" s="2" t="s">
        <v>18</v>
      </c>
      <c r="B49" s="2" t="s">
        <v>57</v>
      </c>
      <c r="C49" s="2" t="s">
        <v>137</v>
      </c>
      <c r="D49" s="2" t="s">
        <v>291</v>
      </c>
      <c r="E49" s="2" t="s">
        <v>292</v>
      </c>
      <c r="F49" s="2" t="s">
        <v>23</v>
      </c>
      <c r="G49" s="2" t="s">
        <v>24</v>
      </c>
      <c r="H49" s="2" t="s">
        <v>37</v>
      </c>
      <c r="I49" s="3">
        <v>46263.4166666667</v>
      </c>
      <c r="J49" s="2" t="s">
        <v>150</v>
      </c>
      <c r="K49" s="2" t="s">
        <v>293</v>
      </c>
      <c r="L49" s="4">
        <v>148.46</v>
      </c>
      <c r="M49" s="5">
        <f t="shared" si="0"/>
        <v>2224.61</v>
      </c>
      <c r="N49" s="6">
        <v>330265</v>
      </c>
      <c r="O49" s="7">
        <v>47.180606</v>
      </c>
      <c r="P49" s="8">
        <f t="shared" si="1"/>
        <v>0.700001606592336</v>
      </c>
      <c r="Q49" s="6">
        <v>0</v>
      </c>
      <c r="R49" s="6">
        <v>0</v>
      </c>
      <c r="S49" s="9" t="s">
        <v>28</v>
      </c>
      <c r="T49" s="9" t="s">
        <v>294</v>
      </c>
    </row>
    <row r="50" spans="1:20">
      <c r="A50" s="2" t="s">
        <v>18</v>
      </c>
      <c r="B50" s="2" t="s">
        <v>57</v>
      </c>
      <c r="C50" s="2" t="s">
        <v>295</v>
      </c>
      <c r="D50" s="2" t="s">
        <v>296</v>
      </c>
      <c r="E50" s="2" t="s">
        <v>297</v>
      </c>
      <c r="F50" s="2" t="s">
        <v>23</v>
      </c>
      <c r="G50" s="2" t="s">
        <v>24</v>
      </c>
      <c r="H50" s="2" t="s">
        <v>37</v>
      </c>
      <c r="I50" s="3">
        <v>46265.4166666667</v>
      </c>
      <c r="J50" s="2" t="s">
        <v>150</v>
      </c>
      <c r="K50" s="2" t="s">
        <v>61</v>
      </c>
      <c r="L50" s="4">
        <v>227.52</v>
      </c>
      <c r="M50" s="5">
        <f t="shared" si="0"/>
        <v>2681.08</v>
      </c>
      <c r="N50" s="6">
        <v>610000</v>
      </c>
      <c r="O50" s="7">
        <v>86.7883</v>
      </c>
      <c r="P50" s="8">
        <f t="shared" si="1"/>
        <v>0.702859717266037</v>
      </c>
      <c r="Q50" s="6">
        <v>0</v>
      </c>
      <c r="R50" s="6">
        <v>0</v>
      </c>
      <c r="S50" s="9" t="s">
        <v>28</v>
      </c>
      <c r="T50" s="9" t="s">
        <v>298</v>
      </c>
    </row>
    <row r="51" spans="1:20">
      <c r="A51" s="2" t="s">
        <v>18</v>
      </c>
      <c r="B51" s="2" t="s">
        <v>57</v>
      </c>
      <c r="C51" s="2" t="s">
        <v>295</v>
      </c>
      <c r="D51" s="2" t="s">
        <v>299</v>
      </c>
      <c r="E51" s="2" t="s">
        <v>297</v>
      </c>
      <c r="F51" s="2" t="s">
        <v>23</v>
      </c>
      <c r="G51" s="2" t="s">
        <v>24</v>
      </c>
      <c r="H51" s="2" t="s">
        <v>37</v>
      </c>
      <c r="I51" s="3">
        <v>46265.4166666667</v>
      </c>
      <c r="J51" s="2" t="s">
        <v>150</v>
      </c>
      <c r="K51" s="2" t="s">
        <v>61</v>
      </c>
      <c r="L51" s="4">
        <v>227.52</v>
      </c>
      <c r="M51" s="5">
        <f t="shared" si="0"/>
        <v>2681.08</v>
      </c>
      <c r="N51" s="6">
        <v>610000</v>
      </c>
      <c r="O51" s="7">
        <v>86.7763</v>
      </c>
      <c r="P51" s="8">
        <f t="shared" si="1"/>
        <v>0.702956913350765</v>
      </c>
      <c r="Q51" s="6">
        <v>0</v>
      </c>
      <c r="R51" s="6">
        <v>0</v>
      </c>
      <c r="S51" s="9" t="s">
        <v>28</v>
      </c>
      <c r="T51" s="9" t="s">
        <v>300</v>
      </c>
    </row>
    <row r="52" spans="1:20">
      <c r="A52" s="2" t="s">
        <v>18</v>
      </c>
      <c r="B52" s="2" t="s">
        <v>57</v>
      </c>
      <c r="C52" s="2" t="s">
        <v>295</v>
      </c>
      <c r="D52" s="2" t="s">
        <v>301</v>
      </c>
      <c r="E52" s="2" t="s">
        <v>297</v>
      </c>
      <c r="F52" s="2" t="s">
        <v>23</v>
      </c>
      <c r="G52" s="2" t="s">
        <v>24</v>
      </c>
      <c r="H52" s="2" t="s">
        <v>37</v>
      </c>
      <c r="I52" s="3">
        <v>46265.4166666667</v>
      </c>
      <c r="J52" s="2" t="s">
        <v>150</v>
      </c>
      <c r="K52" s="2" t="s">
        <v>61</v>
      </c>
      <c r="L52" s="4">
        <v>227.52</v>
      </c>
      <c r="M52" s="5">
        <f t="shared" si="0"/>
        <v>2593.18</v>
      </c>
      <c r="N52" s="6">
        <v>590000</v>
      </c>
      <c r="O52" s="7">
        <v>84.1472</v>
      </c>
      <c r="P52" s="8">
        <f t="shared" si="1"/>
        <v>0.701152266504411</v>
      </c>
      <c r="Q52" s="6">
        <v>0</v>
      </c>
      <c r="R52" s="6">
        <v>0</v>
      </c>
      <c r="S52" s="9" t="s">
        <v>28</v>
      </c>
      <c r="T52" s="9" t="s">
        <v>302</v>
      </c>
    </row>
    <row r="53" spans="1:20">
      <c r="A53" s="2" t="s">
        <v>18</v>
      </c>
      <c r="B53" s="2" t="s">
        <v>57</v>
      </c>
      <c r="C53" s="2" t="s">
        <v>295</v>
      </c>
      <c r="D53" s="2" t="s">
        <v>303</v>
      </c>
      <c r="E53" s="2" t="s">
        <v>297</v>
      </c>
      <c r="F53" s="2" t="s">
        <v>23</v>
      </c>
      <c r="G53" s="2" t="s">
        <v>24</v>
      </c>
      <c r="H53" s="2" t="s">
        <v>37</v>
      </c>
      <c r="I53" s="3">
        <v>46265.4166666667</v>
      </c>
      <c r="J53" s="2" t="s">
        <v>150</v>
      </c>
      <c r="K53" s="2" t="s">
        <v>61</v>
      </c>
      <c r="L53" s="4">
        <v>227.52</v>
      </c>
      <c r="M53" s="5">
        <f t="shared" si="0"/>
        <v>2593.18</v>
      </c>
      <c r="N53" s="6">
        <v>590000</v>
      </c>
      <c r="O53" s="7">
        <v>84.2159</v>
      </c>
      <c r="P53" s="8">
        <f t="shared" si="1"/>
        <v>0.700580294219975</v>
      </c>
      <c r="Q53" s="6">
        <v>0</v>
      </c>
      <c r="R53" s="6">
        <v>0</v>
      </c>
      <c r="S53" s="9" t="s">
        <v>28</v>
      </c>
      <c r="T53" s="9" t="s">
        <v>304</v>
      </c>
    </row>
    <row r="54" spans="1:20">
      <c r="A54" s="2" t="s">
        <v>18</v>
      </c>
      <c r="B54" s="2" t="s">
        <v>57</v>
      </c>
      <c r="C54" s="2" t="s">
        <v>295</v>
      </c>
      <c r="D54" s="2" t="s">
        <v>305</v>
      </c>
      <c r="E54" s="2" t="s">
        <v>297</v>
      </c>
      <c r="F54" s="2" t="s">
        <v>23</v>
      </c>
      <c r="G54" s="2" t="s">
        <v>24</v>
      </c>
      <c r="H54" s="2" t="s">
        <v>37</v>
      </c>
      <c r="I54" s="3">
        <v>46265.4166666667</v>
      </c>
      <c r="J54" s="2" t="s">
        <v>150</v>
      </c>
      <c r="K54" s="2" t="s">
        <v>61</v>
      </c>
      <c r="L54" s="4">
        <v>227.52</v>
      </c>
      <c r="M54" s="5">
        <f t="shared" si="0"/>
        <v>2549.23</v>
      </c>
      <c r="N54" s="6">
        <v>580000</v>
      </c>
      <c r="O54" s="7">
        <v>81.4567</v>
      </c>
      <c r="P54" s="8">
        <f t="shared" si="1"/>
        <v>0.71203473747402</v>
      </c>
      <c r="Q54" s="6">
        <v>0</v>
      </c>
      <c r="R54" s="6">
        <v>0</v>
      </c>
      <c r="S54" s="9" t="s">
        <v>28</v>
      </c>
      <c r="T54" s="9" t="s">
        <v>306</v>
      </c>
    </row>
    <row r="55" spans="1:20">
      <c r="A55" s="2" t="s">
        <v>18</v>
      </c>
      <c r="B55" s="2" t="s">
        <v>57</v>
      </c>
      <c r="C55" s="2" t="s">
        <v>295</v>
      </c>
      <c r="D55" s="2" t="s">
        <v>307</v>
      </c>
      <c r="E55" s="2" t="s">
        <v>297</v>
      </c>
      <c r="F55" s="2" t="s">
        <v>23</v>
      </c>
      <c r="G55" s="2" t="s">
        <v>24</v>
      </c>
      <c r="H55" s="2" t="s">
        <v>37</v>
      </c>
      <c r="I55" s="3">
        <v>46265.4166666667</v>
      </c>
      <c r="J55" s="2" t="s">
        <v>150</v>
      </c>
      <c r="K55" s="2" t="s">
        <v>61</v>
      </c>
      <c r="L55" s="4">
        <v>227.52</v>
      </c>
      <c r="M55" s="5">
        <f t="shared" si="0"/>
        <v>2768.99</v>
      </c>
      <c r="N55" s="6">
        <v>630000</v>
      </c>
      <c r="O55" s="7">
        <v>89.3515</v>
      </c>
      <c r="P55" s="8">
        <f t="shared" si="1"/>
        <v>0.705080496690039</v>
      </c>
      <c r="Q55" s="6">
        <v>0</v>
      </c>
      <c r="R55" s="6">
        <v>0</v>
      </c>
      <c r="S55" s="9" t="s">
        <v>28</v>
      </c>
      <c r="T55" s="9" t="s">
        <v>308</v>
      </c>
    </row>
    <row r="56" spans="1:20">
      <c r="A56" s="2" t="s">
        <v>18</v>
      </c>
      <c r="B56" s="2" t="s">
        <v>57</v>
      </c>
      <c r="C56" s="2" t="s">
        <v>295</v>
      </c>
      <c r="D56" s="2" t="s">
        <v>309</v>
      </c>
      <c r="E56" s="2" t="s">
        <v>297</v>
      </c>
      <c r="F56" s="2" t="s">
        <v>23</v>
      </c>
      <c r="G56" s="2" t="s">
        <v>24</v>
      </c>
      <c r="H56" s="2" t="s">
        <v>37</v>
      </c>
      <c r="I56" s="3">
        <v>46265.4166666667</v>
      </c>
      <c r="J56" s="2" t="s">
        <v>150</v>
      </c>
      <c r="K56" s="2" t="s">
        <v>61</v>
      </c>
      <c r="L56" s="4">
        <v>227.52</v>
      </c>
      <c r="M56" s="5">
        <f t="shared" si="0"/>
        <v>2505.27</v>
      </c>
      <c r="N56" s="6">
        <v>570000</v>
      </c>
      <c r="O56" s="7">
        <v>81.3612</v>
      </c>
      <c r="P56" s="8">
        <f t="shared" si="1"/>
        <v>0.700579637468474</v>
      </c>
      <c r="Q56" s="6">
        <v>0</v>
      </c>
      <c r="R56" s="6">
        <v>0</v>
      </c>
      <c r="S56" s="9" t="s">
        <v>28</v>
      </c>
      <c r="T56" s="9" t="s">
        <v>310</v>
      </c>
    </row>
  </sheetData>
  <autoFilter xmlns:etc="http://www.wps.cn/officeDocument/2017/etCustomData" ref="A1:T56" etc:filterBottomFollowUsedRange="0">
    <filterColumn colId="1">
      <filters>
        <filter val="泉州市"/>
      </filters>
    </filterColumn>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即将开始</vt:lpstr>
      <vt:lpstr>成交标的</vt:lpstr>
      <vt:lpstr>流拍标的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fujian-auctions</dc:creator>
  <cp:lastModifiedBy>020</cp:lastModifiedBy>
  <dcterms:created xsi:type="dcterms:W3CDTF">2026-08-31T03:18:00Z</dcterms:created>
  <dcterms:modified xsi:type="dcterms:W3CDTF">2026-08-31T04:22:00Z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8D4C9F921AA843F184F755C394AEF985_12</vt:lpwstr>
  </property>
  <property fmtid="{D5CDD505-2E9C-101B-9397-08002B2CF9AE}" pid="3" name="KSOProductBuildVer">
    <vt:lpwstr>2052-12.1.0.28043</vt:lpwstr>
  </property>
  <property fmtid="{D5CDD505-2E9C-101B-9397-08002B2CF9AE}" pid="4" name="CalculationRule">
    <vt:i4>0</vt:i4>
  </property>
</Properties>
</file>