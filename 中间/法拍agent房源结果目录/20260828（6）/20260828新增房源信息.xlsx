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12255" tabRatio="600" firstSheet="0" activeTab="0" autoFilterDateGrouping="1"/>
  </bookViews>
  <sheets>
    <sheet xmlns:r="http://schemas.openxmlformats.org/officeDocument/2006/relationships" name="即将开始" sheetId="1" state="visible" r:id="rId1"/>
    <sheet xmlns:r="http://schemas.openxmlformats.org/officeDocument/2006/relationships" name="成交标的" sheetId="2" state="visible" r:id="rId2"/>
    <sheet xmlns:r="http://schemas.openxmlformats.org/officeDocument/2006/relationships" name="流拍标的" sheetId="3" state="visible" r:id="rId3"/>
  </sheets>
  <definedNames>
    <definedName name="_xlnm._FilterDatabase" localSheetId="0" hidden="1">'即将开始'!$A$1:$R$39</definedName>
    <definedName name="_xlnm._FilterDatabase" localSheetId="1" hidden="1">'成交标的'!$A$1:$W$14</definedName>
    <definedName name="_xlnm._FilterDatabase" localSheetId="2" hidden="1">'流拍标的'!$A$1:$T$8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m\-dd"/>
    <numFmt numFmtId="165" formatCode="#,##0.####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color rgb="FF1F2937"/>
      <sz val="11"/>
    </font>
    <font>
      <name val="宋体"/>
      <charset val="134"/>
      <sz val="10"/>
    </font>
    <font>
      <name val="Times New Roman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2" fontId="3" fillId="0" borderId="2" applyAlignment="1" pivotButton="0" quotePrefix="0" xfId="0">
      <alignment vertical="center"/>
    </xf>
    <xf numFmtId="4" fontId="2" fillId="0" borderId="2" applyAlignment="1" pivotButton="0" quotePrefix="0" xfId="0">
      <alignment vertical="center"/>
    </xf>
    <xf numFmtId="3" fontId="3" fillId="0" borderId="2" applyAlignment="1" pivotButton="0" quotePrefix="0" xfId="0">
      <alignment vertical="center"/>
    </xf>
    <xf numFmtId="165" fontId="3" fillId="0" borderId="2" applyAlignment="1" pivotButton="0" quotePrefix="0" xfId="0">
      <alignment vertical="center"/>
    </xf>
    <xf numFmtId="1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0" fontId="4" fillId="0" borderId="2" applyAlignment="1" pivotButton="0" quotePrefix="0" xfId="6">
      <alignment vertical="center"/>
    </xf>
    <xf numFmtId="164" fontId="3" fillId="0" borderId="2" applyAlignment="1" pivotButton="0" quotePrefix="0" xfId="0">
      <alignment vertical="center"/>
    </xf>
    <xf numFmtId="165" fontId="3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s://paimai.jd.com/3111738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showGridLines="0" tabSelected="1" workbookViewId="0">
      <pane xSplit="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R28" sqref="R28"/>
    </sheetView>
  </sheetViews>
  <sheetFormatPr baseColWidth="8" defaultColWidth="9" defaultRowHeight="13.5"/>
  <cols>
    <col width="10" customWidth="1" min="1" max="2"/>
    <col width="11" customWidth="1" min="3" max="3"/>
    <col width="42" customWidth="1" min="4" max="4"/>
    <col width="24" customWidth="1" min="5" max="5"/>
    <col width="10" customWidth="1" min="6" max="6"/>
    <col width="11" customWidth="1" min="7" max="7"/>
    <col width="10" customWidth="1" min="8" max="8"/>
    <col width="11" customWidth="1" min="9" max="9"/>
    <col width="14" customWidth="1" min="10" max="10"/>
    <col width="23" customWidth="1" min="11" max="11"/>
    <col width="12" customWidth="1" min="12" max="12"/>
    <col width="16" customWidth="1" min="13" max="13"/>
    <col width="14" customWidth="1" min="14" max="14"/>
    <col width="15" customWidth="1" min="15" max="15"/>
    <col width="12" customWidth="1" min="16" max="16"/>
    <col width="32" customWidth="1" min="17" max="17"/>
    <col width="48" customWidth="1" min="18" max="18"/>
  </cols>
  <sheetData>
    <row r="1" ht="28" customHeight="1">
      <c r="A1" s="1" t="inlineStr">
        <is>
          <t>所在省份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标的名称</t>
        </is>
      </c>
      <c r="E1" s="1" t="inlineStr">
        <is>
          <t>小区名称（仅供参考）</t>
        </is>
      </c>
      <c r="F1" s="1" t="inlineStr">
        <is>
          <t>标的类型</t>
        </is>
      </c>
      <c r="G1" s="1" t="inlineStr">
        <is>
          <t>平台</t>
        </is>
      </c>
      <c r="H1" s="1" t="inlineStr">
        <is>
          <t>发拍次数</t>
        </is>
      </c>
      <c r="I1" s="1" t="inlineStr">
        <is>
          <t>拍卖时间</t>
        </is>
      </c>
      <c r="J1" s="1" t="inlineStr">
        <is>
          <t>是否成交</t>
        </is>
      </c>
      <c r="K1" s="1" t="inlineStr">
        <is>
          <t>处置法院</t>
        </is>
      </c>
      <c r="L1" s="1" t="inlineStr">
        <is>
          <t>面积/㎡</t>
        </is>
      </c>
      <c r="M1" s="1" t="inlineStr">
        <is>
          <t>起拍单价-元/㎡</t>
        </is>
      </c>
      <c r="N1" s="1" t="inlineStr">
        <is>
          <t>起拍价格</t>
        </is>
      </c>
      <c r="O1" s="1" t="inlineStr">
        <is>
          <t>评估价(万元)</t>
        </is>
      </c>
      <c r="P1" s="1" t="inlineStr">
        <is>
          <t>折扣率(%)</t>
        </is>
      </c>
      <c r="Q1" s="1" t="inlineStr">
        <is>
          <t>备注</t>
        </is>
      </c>
      <c r="R1" s="1" t="inlineStr">
        <is>
          <t>网站链接</t>
        </is>
      </c>
    </row>
    <row r="2">
      <c r="A2" s="2" t="inlineStr">
        <is>
          <t>福建省</t>
        </is>
      </c>
      <c r="B2" s="2" t="inlineStr">
        <is>
          <t>福州市</t>
        </is>
      </c>
      <c r="C2" s="2" t="inlineStr">
        <is>
          <t>仓山区</t>
        </is>
      </c>
      <c r="D2" s="2" t="inlineStr">
        <is>
          <t>仓山镇万里解困小区4#楼1层15附属间、706单元</t>
        </is>
      </c>
      <c r="E2" s="2" t="inlineStr">
        <is>
          <t>万里解困小区</t>
        </is>
      </c>
      <c r="F2" s="2" t="inlineStr">
        <is>
          <t>住宅</t>
        </is>
      </c>
      <c r="G2" s="2" t="inlineStr">
        <is>
          <t>京东拍卖</t>
        </is>
      </c>
      <c r="H2" s="2" t="inlineStr">
        <is>
          <t>一拍</t>
        </is>
      </c>
      <c r="I2" s="12" t="n">
        <v>46294.41666666666</v>
      </c>
      <c r="J2" s="2" t="inlineStr">
        <is>
          <t>即将开始</t>
        </is>
      </c>
      <c r="K2" s="2" t="inlineStr">
        <is>
          <t>福州市鼓楼区人民法院</t>
        </is>
      </c>
      <c r="L2" s="4" t="n">
        <v>68.70999999999999</v>
      </c>
      <c r="M2" s="5">
        <f>IF(AND(ISNUMBER(N2),ISNUMBER(L2),L2&gt;0),ROUND(N2/L2,2),"")</f>
        <v/>
      </c>
      <c r="N2" s="6" t="n">
        <v>515000</v>
      </c>
      <c r="O2" s="13" t="n">
        <v>73.01536900000001</v>
      </c>
      <c r="P2" s="8">
        <f>IF(AND(ISNUMBER(N2),ISNUMBER(O2),O2&gt;0),N2/(O2*10000),"")</f>
        <v/>
      </c>
      <c r="Q2" s="9" t="inlineStr"/>
      <c r="R2" s="9" t="inlineStr">
        <is>
          <t>https://paimai.jd.com/311175667</t>
        </is>
      </c>
    </row>
    <row r="3">
      <c r="A3" s="2" t="inlineStr">
        <is>
          <t>福建省</t>
        </is>
      </c>
      <c r="B3" s="2" t="inlineStr">
        <is>
          <t>福州市</t>
        </is>
      </c>
      <c r="C3" s="2" t="inlineStr">
        <is>
          <t>仓山区</t>
        </is>
      </c>
      <c r="D3" s="2" t="inlineStr">
        <is>
          <t>金山街道亭头路253号福州仓山万达广场B区B12#楼701单</t>
        </is>
      </c>
      <c r="E3" s="2" t="inlineStr">
        <is>
          <t>福州仓山万达广场B区</t>
        </is>
      </c>
      <c r="F3" s="2" t="inlineStr">
        <is>
          <t>住宅</t>
        </is>
      </c>
      <c r="G3" s="2" t="inlineStr">
        <is>
          <t>京东拍卖</t>
        </is>
      </c>
      <c r="H3" s="2" t="inlineStr">
        <is>
          <t>一拍</t>
        </is>
      </c>
      <c r="I3" s="12" t="n">
        <v>46294.41666666666</v>
      </c>
      <c r="J3" s="2" t="inlineStr">
        <is>
          <t>即将开始</t>
        </is>
      </c>
      <c r="K3" s="2" t="inlineStr">
        <is>
          <t>福州市鼓楼区人民法院</t>
        </is>
      </c>
      <c r="L3" s="4" t="n">
        <v>115.09</v>
      </c>
      <c r="M3" s="5">
        <f>IF(AND(ISNUMBER(N3),ISNUMBER(L3),L3&gt;0),ROUND(N3/L3,2),"")</f>
        <v/>
      </c>
      <c r="N3" s="6" t="n">
        <v>1210000</v>
      </c>
      <c r="O3" s="13" t="n">
        <v>172.635</v>
      </c>
      <c r="P3" s="8">
        <f>IF(AND(ISNUMBER(N3),ISNUMBER(O3),O3&gt;0),N3/(O3*10000),"")</f>
        <v/>
      </c>
      <c r="Q3" s="9" t="inlineStr"/>
      <c r="R3" s="9" t="inlineStr">
        <is>
          <t>https://paimai.jd.com/311177691</t>
        </is>
      </c>
    </row>
    <row r="4">
      <c r="A4" s="2" t="inlineStr">
        <is>
          <t>福建省</t>
        </is>
      </c>
      <c r="B4" s="2" t="inlineStr">
        <is>
          <t>福州市</t>
        </is>
      </c>
      <c r="C4" s="2" t="inlineStr">
        <is>
          <t>仓山区</t>
        </is>
      </c>
      <c r="D4" s="2" t="inlineStr">
        <is>
          <t>金山街道金桔路336号中天金海岸2-1#地48#楼2903单元</t>
        </is>
      </c>
      <c r="E4" s="2" t="inlineStr">
        <is>
          <t>中天金海岸</t>
        </is>
      </c>
      <c r="F4" s="2" t="inlineStr">
        <is>
          <t>住宅</t>
        </is>
      </c>
      <c r="G4" s="2" t="inlineStr">
        <is>
          <t>京东拍卖</t>
        </is>
      </c>
      <c r="H4" s="2" t="inlineStr">
        <is>
          <t>二拍</t>
        </is>
      </c>
      <c r="I4" s="12" t="n">
        <v>46280.41666666666</v>
      </c>
      <c r="J4" s="2" t="inlineStr">
        <is>
          <t>即将开始</t>
        </is>
      </c>
      <c r="K4" s="2" t="inlineStr">
        <is>
          <t>福州市仓山区人民法院</t>
        </is>
      </c>
      <c r="L4" s="4" t="n">
        <v>139.99</v>
      </c>
      <c r="M4" s="5">
        <f>IF(AND(ISNUMBER(N4),ISNUMBER(L4),L4&gt;0),ROUND(N4/L4,2),"")</f>
        <v/>
      </c>
      <c r="N4" s="6" t="n">
        <v>1724677</v>
      </c>
      <c r="O4" s="13" t="n">
        <v>307.978</v>
      </c>
      <c r="P4" s="8">
        <f>IF(AND(ISNUMBER(N4),ISNUMBER(O4),O4&gt;0),N4/(O4*10000),"")</f>
        <v/>
      </c>
      <c r="Q4" s="9" t="inlineStr"/>
      <c r="R4" s="9" t="inlineStr">
        <is>
          <t>https://paimai.jd.com/311173861</t>
        </is>
      </c>
    </row>
    <row r="5">
      <c r="A5" s="2" t="inlineStr">
        <is>
          <t>福建省</t>
        </is>
      </c>
      <c r="B5" s="2" t="inlineStr">
        <is>
          <t>福州市</t>
        </is>
      </c>
      <c r="C5" s="2" t="inlineStr">
        <is>
          <t>鼓楼区</t>
        </is>
      </c>
      <c r="D5" s="2" t="inlineStr">
        <is>
          <t>华大街道湖前路13号民都商住楼418单身公寓</t>
        </is>
      </c>
      <c r="E5" s="2" t="inlineStr">
        <is>
          <t>民都商住楼</t>
        </is>
      </c>
      <c r="F5" s="2" t="inlineStr">
        <is>
          <t>住宅</t>
        </is>
      </c>
      <c r="G5" s="2" t="inlineStr">
        <is>
          <t>京东拍卖</t>
        </is>
      </c>
      <c r="H5" s="2" t="inlineStr">
        <is>
          <t>一拍</t>
        </is>
      </c>
      <c r="I5" s="12" t="n">
        <v>46293.41666666666</v>
      </c>
      <c r="J5" s="2" t="inlineStr">
        <is>
          <t>即将开始</t>
        </is>
      </c>
      <c r="K5" s="2" t="inlineStr">
        <is>
          <t>福州市鼓楼区人民法院</t>
        </is>
      </c>
      <c r="L5" s="4" t="n">
        <v>46.42</v>
      </c>
      <c r="M5" s="5">
        <f>IF(AND(ISNUMBER(N5),ISNUMBER(L5),L5&gt;0),ROUND(N5/L5,2),"")</f>
        <v/>
      </c>
      <c r="N5" s="6" t="n">
        <v>575000</v>
      </c>
      <c r="O5" s="13" t="n">
        <v>82.014291</v>
      </c>
      <c r="P5" s="8">
        <f>IF(AND(ISNUMBER(N5),ISNUMBER(O5),O5&gt;0),N5/(O5*10000),"")</f>
        <v/>
      </c>
      <c r="Q5" s="9" t="inlineStr"/>
      <c r="R5" s="9" t="inlineStr">
        <is>
          <t>https://paimai.jd.com/311175669</t>
        </is>
      </c>
    </row>
    <row r="6">
      <c r="A6" s="2" t="inlineStr">
        <is>
          <t>福建省</t>
        </is>
      </c>
      <c r="B6" s="2" t="inlineStr">
        <is>
          <t>福州市</t>
        </is>
      </c>
      <c r="C6" s="2" t="inlineStr">
        <is>
          <t>鼓楼区</t>
        </is>
      </c>
      <c r="D6" s="2" t="inlineStr">
        <is>
          <t>华大街道湖前路13号民都商住楼212单身公寓</t>
        </is>
      </c>
      <c r="E6" s="2" t="inlineStr">
        <is>
          <t>民都商住楼</t>
        </is>
      </c>
      <c r="F6" s="2" t="inlineStr">
        <is>
          <t>住宅</t>
        </is>
      </c>
      <c r="G6" s="2" t="inlineStr">
        <is>
          <t>京东拍卖</t>
        </is>
      </c>
      <c r="H6" s="2" t="inlineStr">
        <is>
          <t>一拍</t>
        </is>
      </c>
      <c r="I6" s="12" t="n">
        <v>46293.41666666666</v>
      </c>
      <c r="J6" s="2" t="inlineStr">
        <is>
          <t>即将开始</t>
        </is>
      </c>
      <c r="K6" s="2" t="inlineStr">
        <is>
          <t>福州市鼓楼区人民法院</t>
        </is>
      </c>
      <c r="L6" s="4" t="n">
        <v>64.09999999999999</v>
      </c>
      <c r="M6" s="5">
        <f>IF(AND(ISNUMBER(N6),ISNUMBER(L6),L6&gt;0),ROUND(N6/L6,2),"")</f>
        <v/>
      </c>
      <c r="N6" s="6" t="n">
        <v>465000</v>
      </c>
      <c r="O6" s="13" t="n">
        <v>65.969947</v>
      </c>
      <c r="P6" s="8">
        <f>IF(AND(ISNUMBER(N6),ISNUMBER(O6),O6&gt;0),N6/(O6*10000),"")</f>
        <v/>
      </c>
      <c r="Q6" s="9" t="inlineStr"/>
      <c r="R6" s="9" t="inlineStr">
        <is>
          <t>https://paimai.jd.com/311175718</t>
        </is>
      </c>
    </row>
    <row r="7">
      <c r="A7" s="2" t="inlineStr">
        <is>
          <t>福建省</t>
        </is>
      </c>
      <c r="B7" s="2" t="inlineStr">
        <is>
          <t>福州市</t>
        </is>
      </c>
      <c r="C7" s="2" t="inlineStr">
        <is>
          <t>晋安区</t>
        </is>
      </c>
      <c r="D7" s="2" t="inlineStr">
        <is>
          <t>新店镇福飞北路189号福晟·钱隆御景（二期）9#楼106单元</t>
        </is>
      </c>
      <c r="E7" s="2" t="inlineStr">
        <is>
          <t>福晟·钱隆御景</t>
        </is>
      </c>
      <c r="F7" s="2" t="inlineStr">
        <is>
          <t>住宅</t>
        </is>
      </c>
      <c r="G7" s="2" t="inlineStr">
        <is>
          <t>京东拍卖</t>
        </is>
      </c>
      <c r="H7" s="2" t="inlineStr">
        <is>
          <t>变卖</t>
        </is>
      </c>
      <c r="I7" s="12" t="n">
        <v>46280.41666666666</v>
      </c>
      <c r="J7" s="2" t="inlineStr">
        <is>
          <t>即将开始</t>
        </is>
      </c>
      <c r="K7" s="2" t="inlineStr">
        <is>
          <t>福州市仓山区人民法院</t>
        </is>
      </c>
      <c r="L7" s="4" t="n">
        <v>119.91</v>
      </c>
      <c r="M7" s="5">
        <f>IF(AND(ISNUMBER(N7),ISNUMBER(L7),L7&gt;0),ROUND(N7/L7,2),"")</f>
        <v/>
      </c>
      <c r="N7" s="6" t="n">
        <v>1007244</v>
      </c>
      <c r="O7" s="13" t="n">
        <v>179.865</v>
      </c>
      <c r="P7" s="8">
        <f>IF(AND(ISNUMBER(N7),ISNUMBER(O7),O7&gt;0),N7/(O7*10000),"")</f>
        <v/>
      </c>
      <c r="Q7" s="9" t="inlineStr"/>
      <c r="R7" s="9" t="inlineStr">
        <is>
          <t>https://paimai.jd.com/311173753</t>
        </is>
      </c>
    </row>
    <row r="8">
      <c r="A8" s="2" t="inlineStr">
        <is>
          <t>福建省</t>
        </is>
      </c>
      <c r="B8" s="2" t="inlineStr">
        <is>
          <t>福州市</t>
        </is>
      </c>
      <c r="C8" s="2" t="inlineStr">
        <is>
          <t>连江县</t>
        </is>
      </c>
      <c r="D8" s="2" t="inlineStr">
        <is>
          <t>潘渡乡沿江大道1号贵安新天地贵泉苑25幢3204单元</t>
        </is>
      </c>
      <c r="E8" s="2" t="inlineStr">
        <is>
          <t>贵安新天地贵泉苑</t>
        </is>
      </c>
      <c r="F8" s="2" t="inlineStr">
        <is>
          <t>住宅</t>
        </is>
      </c>
      <c r="G8" s="2" t="inlineStr">
        <is>
          <t>京东拍卖</t>
        </is>
      </c>
      <c r="H8" s="2" t="inlineStr">
        <is>
          <t>一拍</t>
        </is>
      </c>
      <c r="I8" s="12" t="n">
        <v>46307.41666666666</v>
      </c>
      <c r="J8" s="2" t="inlineStr">
        <is>
          <t>即将开始</t>
        </is>
      </c>
      <c r="K8" s="2" t="inlineStr">
        <is>
          <t>福州市仓山区人民法院</t>
        </is>
      </c>
      <c r="L8" s="4" t="n">
        <v>108.17</v>
      </c>
      <c r="M8" s="5">
        <f>IF(AND(ISNUMBER(N8),ISNUMBER(L8),L8&gt;0),ROUND(N8/L8,2),"")</f>
        <v/>
      </c>
      <c r="N8" s="6" t="n">
        <v>300300</v>
      </c>
      <c r="O8" s="13" t="n">
        <v>42.9</v>
      </c>
      <c r="P8" s="8">
        <f>IF(AND(ISNUMBER(N8),ISNUMBER(O8),O8&gt;0),N8/(O8*10000),"")</f>
        <v/>
      </c>
      <c r="Q8" s="9" t="inlineStr"/>
      <c r="R8" s="9" t="inlineStr">
        <is>
          <t>https://paimai.jd.com/311174971</t>
        </is>
      </c>
    </row>
    <row r="9">
      <c r="A9" s="2" t="inlineStr">
        <is>
          <t>福建省</t>
        </is>
      </c>
      <c r="B9" s="2" t="inlineStr">
        <is>
          <t>福州市</t>
        </is>
      </c>
      <c r="C9" s="2" t="inlineStr">
        <is>
          <t>闽侯县</t>
        </is>
      </c>
      <c r="D9" s="2" t="inlineStr">
        <is>
          <t>甘蔗街道十字街39号闽侯县旧城改造安置房（现:瀛洲花园小区）A6#楼1001单元</t>
        </is>
      </c>
      <c r="E9" s="2" t="inlineStr">
        <is>
          <t>瀛洲花园</t>
        </is>
      </c>
      <c r="F9" s="2" t="inlineStr">
        <is>
          <t>住宅</t>
        </is>
      </c>
      <c r="G9" s="2" t="inlineStr">
        <is>
          <t>京东拍卖</t>
        </is>
      </c>
      <c r="H9" s="2" t="inlineStr">
        <is>
          <t>一拍</t>
        </is>
      </c>
      <c r="I9" s="12" t="n">
        <v>46294.41666666666</v>
      </c>
      <c r="J9" s="2" t="inlineStr">
        <is>
          <t>即将开始</t>
        </is>
      </c>
      <c r="K9" s="2" t="inlineStr">
        <is>
          <t>福州市鼓楼区人民法院</t>
        </is>
      </c>
      <c r="L9" s="4" t="n">
        <v>135.98</v>
      </c>
      <c r="M9" s="5">
        <f>IF(AND(ISNUMBER(N9),ISNUMBER(L9),L9&gt;0),ROUND(N9/L9,2),"")</f>
        <v/>
      </c>
      <c r="N9" s="6" t="n">
        <v>350000</v>
      </c>
      <c r="O9" s="13" t="n">
        <v>49.124931</v>
      </c>
      <c r="P9" s="8">
        <f>IF(AND(ISNUMBER(N9),ISNUMBER(O9),O9&gt;0),N9/(O9*10000),"")</f>
        <v/>
      </c>
      <c r="Q9" s="9" t="inlineStr"/>
      <c r="R9" s="9" t="inlineStr">
        <is>
          <t>https://paimai.jd.com/311177567</t>
        </is>
      </c>
    </row>
    <row r="10">
      <c r="A10" s="2" t="inlineStr">
        <is>
          <t>福建省</t>
        </is>
      </c>
      <c r="B10" s="2" t="inlineStr">
        <is>
          <t>福州市</t>
        </is>
      </c>
      <c r="C10" s="2" t="inlineStr">
        <is>
          <t>平潭县</t>
        </is>
      </c>
      <c r="D10" s="2" t="inlineStr">
        <is>
          <t>中楼乡大中村大中1号潭中佳苑五组团24#楼2702室</t>
        </is>
      </c>
      <c r="E10" s="2" t="inlineStr">
        <is>
          <t>潭中佳苑五组团</t>
        </is>
      </c>
      <c r="F10" s="2" t="inlineStr">
        <is>
          <t>住宅</t>
        </is>
      </c>
      <c r="G10" s="2" t="inlineStr">
        <is>
          <t>京东拍卖</t>
        </is>
      </c>
      <c r="H10" s="2" t="inlineStr">
        <is>
          <t>二拍</t>
        </is>
      </c>
      <c r="I10" s="12" t="n">
        <v>46278.41666666666</v>
      </c>
      <c r="J10" s="2" t="inlineStr">
        <is>
          <t>即将开始</t>
        </is>
      </c>
      <c r="K10" s="2" t="inlineStr">
        <is>
          <t>平潭县人民法院</t>
        </is>
      </c>
      <c r="L10" s="4" t="n">
        <v>132.09</v>
      </c>
      <c r="M10" s="5">
        <f>IF(AND(ISNUMBER(N10),ISNUMBER(L10),L10&gt;0),ROUND(N10/L10,2),"")</f>
        <v/>
      </c>
      <c r="N10" s="6" t="n">
        <v>476901</v>
      </c>
      <c r="O10" s="13" t="n">
        <v>66.236214</v>
      </c>
      <c r="P10" s="8">
        <f>IF(AND(ISNUMBER(N10),ISNUMBER(O10),O10&gt;0),N10/(O10*10000),"")</f>
        <v/>
      </c>
      <c r="Q10" s="9" t="inlineStr"/>
      <c r="R10" s="9" t="inlineStr">
        <is>
          <t>https://paimai.jd.com/311174910</t>
        </is>
      </c>
    </row>
    <row r="11">
      <c r="A11" s="2" t="inlineStr">
        <is>
          <t>福建省</t>
        </is>
      </c>
      <c r="B11" s="2" t="inlineStr">
        <is>
          <t>福州市</t>
        </is>
      </c>
      <c r="C11" s="2" t="inlineStr">
        <is>
          <t>台江区</t>
        </is>
      </c>
      <c r="D11" s="2" t="inlineStr">
        <is>
          <t>新港街道水运里1号光明花园3#楼1层46附属间及401单元</t>
        </is>
      </c>
      <c r="E11" s="2" t="inlineStr">
        <is>
          <t>光明花园</t>
        </is>
      </c>
      <c r="F11" s="2" t="inlineStr">
        <is>
          <t>住宅</t>
        </is>
      </c>
      <c r="G11" s="2" t="inlineStr">
        <is>
          <t>京东拍卖</t>
        </is>
      </c>
      <c r="H11" s="2" t="inlineStr">
        <is>
          <t>变卖</t>
        </is>
      </c>
      <c r="I11" s="12" t="n">
        <v>46279.41666666666</v>
      </c>
      <c r="J11" s="2" t="inlineStr">
        <is>
          <t>即将开始</t>
        </is>
      </c>
      <c r="K11" s="2" t="inlineStr">
        <is>
          <t>福州市台江区人民法院</t>
        </is>
      </c>
      <c r="L11" s="4" t="n">
        <v>118.51</v>
      </c>
      <c r="M11" s="5">
        <f>IF(AND(ISNUMBER(N11),ISNUMBER(L11),L11&gt;0),ROUND(N11/L11,2),"")</f>
        <v/>
      </c>
      <c r="N11" s="6" t="n">
        <v>1441342</v>
      </c>
      <c r="O11" s="13" t="n">
        <v>257.38236</v>
      </c>
      <c r="P11" s="8">
        <f>IF(AND(ISNUMBER(N11),ISNUMBER(O11),O11&gt;0),N11/(O11*10000),"")</f>
        <v/>
      </c>
      <c r="Q11" s="2" t="inlineStr">
        <is>
          <t>主住宅：118.51㎡；附属间：6.92㎡。</t>
        </is>
      </c>
      <c r="R11" s="9" t="inlineStr">
        <is>
          <t>https://paimai.jd.com/311170388</t>
        </is>
      </c>
    </row>
    <row r="12">
      <c r="A12" s="2" t="inlineStr">
        <is>
          <t>福建省</t>
        </is>
      </c>
      <c r="B12" s="2" t="inlineStr">
        <is>
          <t>泉州市</t>
        </is>
      </c>
      <c r="C12" s="2" t="inlineStr">
        <is>
          <t>丰泽区</t>
        </is>
      </c>
      <c r="D12" s="2" t="inlineStr">
        <is>
          <t>宝荣华庭04#2103住宅</t>
        </is>
      </c>
      <c r="E12" s="2" t="inlineStr">
        <is>
          <t>宝荣华庭</t>
        </is>
      </c>
      <c r="F12" s="2" t="inlineStr">
        <is>
          <t>住宅</t>
        </is>
      </c>
      <c r="G12" s="2" t="inlineStr">
        <is>
          <t>京东拍卖</t>
        </is>
      </c>
      <c r="H12" s="2" t="inlineStr">
        <is>
          <t>二拍</t>
        </is>
      </c>
      <c r="I12" s="12" t="n">
        <v>46279.41666666666</v>
      </c>
      <c r="J12" s="2" t="inlineStr">
        <is>
          <t>即将开始</t>
        </is>
      </c>
      <c r="K12" s="2" t="inlineStr">
        <is>
          <t>泉州市丰泽区人民法院</t>
        </is>
      </c>
      <c r="L12" s="4" t="n">
        <v>143.14</v>
      </c>
      <c r="M12" s="5">
        <f>IF(AND(ISNUMBER(N12),ISNUMBER(L12),L12&gt;0),ROUND(N12/L12,2),"")</f>
        <v/>
      </c>
      <c r="N12" s="6" t="n">
        <v>784000</v>
      </c>
      <c r="O12" s="13" t="n">
        <v>122.370386</v>
      </c>
      <c r="P12" s="8">
        <f>IF(AND(ISNUMBER(N12),ISNUMBER(O12),O12&gt;0),N12/(O12*10000),"")</f>
        <v/>
      </c>
      <c r="Q12" s="9" t="inlineStr"/>
      <c r="R12" s="9" t="inlineStr">
        <is>
          <t>https://paimai.jd.com/311173678</t>
        </is>
      </c>
    </row>
    <row r="13">
      <c r="A13" s="2" t="inlineStr">
        <is>
          <t>福建省</t>
        </is>
      </c>
      <c r="B13" s="2" t="inlineStr">
        <is>
          <t>泉州市</t>
        </is>
      </c>
      <c r="C13" s="2" t="inlineStr">
        <is>
          <t>丰泽区</t>
        </is>
      </c>
      <c r="D13" s="2" t="inlineStr">
        <is>
          <t>宝荣华庭01#1806住宅</t>
        </is>
      </c>
      <c r="E13" s="2" t="inlineStr">
        <is>
          <t>宝荣华庭</t>
        </is>
      </c>
      <c r="F13" s="2" t="inlineStr">
        <is>
          <t>住宅</t>
        </is>
      </c>
      <c r="G13" s="2" t="inlineStr">
        <is>
          <t>京东拍卖</t>
        </is>
      </c>
      <c r="H13" s="2" t="inlineStr">
        <is>
          <t>二拍</t>
        </is>
      </c>
      <c r="I13" s="12" t="n">
        <v>46279.41666666666</v>
      </c>
      <c r="J13" s="2" t="inlineStr">
        <is>
          <t>即将开始</t>
        </is>
      </c>
      <c r="K13" s="2" t="inlineStr">
        <is>
          <t>泉州市丰泽区人民法院</t>
        </is>
      </c>
      <c r="L13" s="4" t="n">
        <v>143.74</v>
      </c>
      <c r="M13" s="5">
        <f>IF(AND(ISNUMBER(N13),ISNUMBER(L13),L13&gt;0),ROUND(N13/L13,2),"")</f>
        <v/>
      </c>
      <c r="N13" s="6" t="n">
        <v>776000</v>
      </c>
      <c r="O13" s="13" t="n">
        <v>121.187194</v>
      </c>
      <c r="P13" s="8">
        <f>IF(AND(ISNUMBER(N13),ISNUMBER(O13),O13&gt;0),N13/(O13*10000),"")</f>
        <v/>
      </c>
      <c r="Q13" s="9" t="inlineStr"/>
      <c r="R13" s="9" t="inlineStr">
        <is>
          <t>https://paimai.jd.com/311173704</t>
        </is>
      </c>
    </row>
    <row r="14">
      <c r="A14" s="2" t="inlineStr">
        <is>
          <t>福建省</t>
        </is>
      </c>
      <c r="B14" s="2" t="inlineStr">
        <is>
          <t>泉州市</t>
        </is>
      </c>
      <c r="C14" s="2" t="inlineStr">
        <is>
          <t>丰泽区</t>
        </is>
      </c>
      <c r="D14" s="2" t="inlineStr">
        <is>
          <t>宝新华庭05#501住宅</t>
        </is>
      </c>
      <c r="E14" s="2" t="inlineStr">
        <is>
          <t>宝新华庭</t>
        </is>
      </c>
      <c r="F14" s="2" t="inlineStr">
        <is>
          <t>住宅</t>
        </is>
      </c>
      <c r="G14" s="2" t="inlineStr">
        <is>
          <t>京东拍卖</t>
        </is>
      </c>
      <c r="H14" s="2" t="inlineStr">
        <is>
          <t>二拍</t>
        </is>
      </c>
      <c r="I14" s="12" t="n">
        <v>46279.41666666666</v>
      </c>
      <c r="J14" s="2" t="inlineStr">
        <is>
          <t>即将开始</t>
        </is>
      </c>
      <c r="K14" s="2" t="inlineStr">
        <is>
          <t>泉州市丰泽区人民法院</t>
        </is>
      </c>
      <c r="L14" s="4" t="n">
        <v>173.2</v>
      </c>
      <c r="M14" s="5">
        <f>IF(AND(ISNUMBER(N14),ISNUMBER(L14),L14&gt;0),ROUND(N14/L14,2),"")</f>
        <v/>
      </c>
      <c r="N14" s="6" t="n">
        <v>1336000</v>
      </c>
      <c r="O14" s="13" t="n">
        <v>208.04784</v>
      </c>
      <c r="P14" s="8">
        <f>IF(AND(ISNUMBER(N14),ISNUMBER(O14),O14&gt;0),N14/(O14*10000),"")</f>
        <v/>
      </c>
      <c r="Q14" s="9" t="inlineStr"/>
      <c r="R14" s="9" t="inlineStr">
        <is>
          <t>https://paimai.jd.com/311173728</t>
        </is>
      </c>
    </row>
    <row r="15">
      <c r="A15" s="2" t="inlineStr">
        <is>
          <t>福建省</t>
        </is>
      </c>
      <c r="B15" s="2" t="inlineStr">
        <is>
          <t>泉州市</t>
        </is>
      </c>
      <c r="C15" s="2" t="inlineStr">
        <is>
          <t>丰泽区</t>
        </is>
      </c>
      <c r="D15" s="2" t="inlineStr">
        <is>
          <t>御殿花园04#302住宅</t>
        </is>
      </c>
      <c r="E15" s="2" t="inlineStr">
        <is>
          <t>御殿花园</t>
        </is>
      </c>
      <c r="F15" s="2" t="inlineStr">
        <is>
          <t>住宅</t>
        </is>
      </c>
      <c r="G15" s="2" t="inlineStr">
        <is>
          <t>京东拍卖</t>
        </is>
      </c>
      <c r="H15" s="2" t="inlineStr">
        <is>
          <t>二拍</t>
        </is>
      </c>
      <c r="I15" s="12" t="n">
        <v>46279.41666666666</v>
      </c>
      <c r="J15" s="2" t="inlineStr">
        <is>
          <t>即将开始</t>
        </is>
      </c>
      <c r="K15" s="2" t="inlineStr">
        <is>
          <t>泉州市丰泽区人民法院</t>
        </is>
      </c>
      <c r="L15" s="4" t="n">
        <v>141.63</v>
      </c>
      <c r="M15" s="5">
        <f>IF(AND(ISNUMBER(N15),ISNUMBER(L15),L15&gt;0),ROUND(N15/L15,2),"")</f>
        <v/>
      </c>
      <c r="N15" s="6" t="n">
        <v>912000</v>
      </c>
      <c r="O15" s="13" t="n">
        <v>141.686652</v>
      </c>
      <c r="P15" s="8">
        <f>IF(AND(ISNUMBER(N15),ISNUMBER(O15),O15&gt;0),N15/(O15*10000),"")</f>
        <v/>
      </c>
      <c r="Q15" s="9" t="inlineStr"/>
      <c r="R15" s="9" t="inlineStr">
        <is>
          <t>https://paimai.jd.com/311173735</t>
        </is>
      </c>
    </row>
    <row r="16">
      <c r="A16" s="2" t="inlineStr">
        <is>
          <t>福建省</t>
        </is>
      </c>
      <c r="B16" s="2" t="inlineStr">
        <is>
          <t>泉州市</t>
        </is>
      </c>
      <c r="C16" s="2" t="inlineStr">
        <is>
          <t>丰泽区</t>
        </is>
      </c>
      <c r="D16" s="2" t="inlineStr">
        <is>
          <t>宝荣华庭01#201住宅</t>
        </is>
      </c>
      <c r="E16" s="2" t="inlineStr">
        <is>
          <t>宝荣华庭</t>
        </is>
      </c>
      <c r="F16" s="2" t="inlineStr">
        <is>
          <t>住宅</t>
        </is>
      </c>
      <c r="G16" s="2" t="inlineStr">
        <is>
          <t>京东拍卖</t>
        </is>
      </c>
      <c r="H16" s="2" t="inlineStr">
        <is>
          <t>二拍</t>
        </is>
      </c>
      <c r="I16" s="12" t="n">
        <v>46279.41666666666</v>
      </c>
      <c r="J16" s="2" t="inlineStr">
        <is>
          <t>即将开始</t>
        </is>
      </c>
      <c r="K16" s="2" t="inlineStr">
        <is>
          <t>泉州市丰泽区人民法院</t>
        </is>
      </c>
      <c r="L16" s="4" t="n">
        <v>138.64</v>
      </c>
      <c r="M16" s="5">
        <f>IF(AND(ISNUMBER(N16),ISNUMBER(L16),L16&gt;0),ROUND(N16/L16,2),"")</f>
        <v/>
      </c>
      <c r="N16" s="6" t="n">
        <v>696000</v>
      </c>
      <c r="O16" s="13" t="n">
        <v>108.27784</v>
      </c>
      <c r="P16" s="8">
        <f>IF(AND(ISNUMBER(N16),ISNUMBER(O16),O16&gt;0),N16/(O16*10000),"")</f>
        <v/>
      </c>
      <c r="Q16" s="9" t="inlineStr"/>
      <c r="R16" s="9" t="inlineStr">
        <is>
          <t>https://paimai.jd.com/311173743</t>
        </is>
      </c>
    </row>
    <row r="17">
      <c r="A17" s="2" t="inlineStr">
        <is>
          <t>福建省</t>
        </is>
      </c>
      <c r="B17" s="2" t="inlineStr">
        <is>
          <t>泉州市</t>
        </is>
      </c>
      <c r="C17" s="2" t="inlineStr">
        <is>
          <t>丰泽区</t>
        </is>
      </c>
      <c r="D17" s="2" t="inlineStr">
        <is>
          <t>泉秀路中段南侧五洲绿缘（时代华庭）C幢（康乐居）502房产</t>
        </is>
      </c>
      <c r="E17" s="2" t="inlineStr">
        <is>
          <t>五洲绿缘（时代华庭）</t>
        </is>
      </c>
      <c r="F17" s="2" t="inlineStr">
        <is>
          <t>住宅</t>
        </is>
      </c>
      <c r="G17" s="2" t="inlineStr">
        <is>
          <t>京东拍卖</t>
        </is>
      </c>
      <c r="H17" s="2" t="inlineStr">
        <is>
          <t>二拍</t>
        </is>
      </c>
      <c r="I17" s="12" t="n">
        <v>46279.41666666666</v>
      </c>
      <c r="J17" s="2" t="inlineStr">
        <is>
          <t>即将开始</t>
        </is>
      </c>
      <c r="K17" s="2" t="inlineStr">
        <is>
          <t>泉州市丰泽区人民法院</t>
        </is>
      </c>
      <c r="L17" s="4" t="n">
        <v>140.43</v>
      </c>
      <c r="M17" s="5">
        <f>IF(AND(ISNUMBER(N17),ISNUMBER(L17),L17&gt;0),ROUND(N17/L17,2),"")</f>
        <v/>
      </c>
      <c r="N17" s="6" t="n">
        <v>1264000</v>
      </c>
      <c r="O17" s="13" t="n">
        <v>196.602</v>
      </c>
      <c r="P17" s="8">
        <f>IF(AND(ISNUMBER(N17),ISNUMBER(O17),O17&gt;0),N17/(O17*10000),"")</f>
        <v/>
      </c>
      <c r="Q17" s="9" t="inlineStr"/>
      <c r="R17" s="9" t="inlineStr">
        <is>
          <t>https://paimai.jd.com/311173757</t>
        </is>
      </c>
    </row>
    <row r="18">
      <c r="A18" s="2" t="inlineStr">
        <is>
          <t>福建省</t>
        </is>
      </c>
      <c r="B18" s="2" t="inlineStr">
        <is>
          <t>泉州市</t>
        </is>
      </c>
      <c r="C18" s="2" t="inlineStr">
        <is>
          <t>丰泽区</t>
        </is>
      </c>
      <c r="D18" s="2" t="inlineStr">
        <is>
          <t>御殿花园04#303住宅</t>
        </is>
      </c>
      <c r="E18" s="2" t="inlineStr">
        <is>
          <t>御殿花园</t>
        </is>
      </c>
      <c r="F18" s="2" t="inlineStr">
        <is>
          <t>住宅</t>
        </is>
      </c>
      <c r="G18" s="2" t="inlineStr">
        <is>
          <t>京东拍卖</t>
        </is>
      </c>
      <c r="H18" s="2" t="inlineStr">
        <is>
          <t>二拍</t>
        </is>
      </c>
      <c r="I18" s="12" t="n">
        <v>46279.41666666666</v>
      </c>
      <c r="J18" s="2" t="inlineStr">
        <is>
          <t>即将开始</t>
        </is>
      </c>
      <c r="K18" s="2" t="inlineStr">
        <is>
          <t>泉州市丰泽区人民法院</t>
        </is>
      </c>
      <c r="L18" s="4" t="n">
        <v>141.63</v>
      </c>
      <c r="M18" s="5">
        <f>IF(AND(ISNUMBER(N18),ISNUMBER(L18),L18&gt;0),ROUND(N18/L18,2),"")</f>
        <v/>
      </c>
      <c r="N18" s="6" t="n">
        <v>912000</v>
      </c>
      <c r="O18" s="13" t="n">
        <v>141.686652</v>
      </c>
      <c r="P18" s="8">
        <f>IF(AND(ISNUMBER(N18),ISNUMBER(O18),O18&gt;0),N18/(O18*10000),"")</f>
        <v/>
      </c>
      <c r="Q18" s="9" t="inlineStr"/>
      <c r="R18" s="9" t="inlineStr">
        <is>
          <t>https://paimai.jd.com/311173833</t>
        </is>
      </c>
    </row>
    <row r="19">
      <c r="A19" s="2" t="inlineStr">
        <is>
          <t>福建省</t>
        </is>
      </c>
      <c r="B19" s="2" t="inlineStr">
        <is>
          <t>泉州市</t>
        </is>
      </c>
      <c r="C19" s="2" t="inlineStr">
        <is>
          <t>丰泽区</t>
        </is>
      </c>
      <c r="D19" s="2" t="inlineStr">
        <is>
          <t>宝荣华庭01#301住宅</t>
        </is>
      </c>
      <c r="E19" s="2" t="inlineStr">
        <is>
          <t>宝荣华庭</t>
        </is>
      </c>
      <c r="F19" s="2" t="inlineStr">
        <is>
          <t>住宅</t>
        </is>
      </c>
      <c r="G19" s="2" t="inlineStr">
        <is>
          <t>京东拍卖</t>
        </is>
      </c>
      <c r="H19" s="2" t="inlineStr">
        <is>
          <t>二拍</t>
        </is>
      </c>
      <c r="I19" s="12" t="n">
        <v>46279.41666666666</v>
      </c>
      <c r="J19" s="2" t="inlineStr">
        <is>
          <t>即将开始</t>
        </is>
      </c>
      <c r="K19" s="2" t="inlineStr">
        <is>
          <t>泉州市丰泽区人民法院</t>
        </is>
      </c>
      <c r="L19" s="4" t="n">
        <v>138.64</v>
      </c>
      <c r="M19" s="5">
        <f>IF(AND(ISNUMBER(N19),ISNUMBER(L19),L19&gt;0),ROUND(N19/L19,2),"")</f>
        <v/>
      </c>
      <c r="N19" s="6" t="n">
        <v>696800</v>
      </c>
      <c r="O19" s="13" t="n">
        <v>108.818536</v>
      </c>
      <c r="P19" s="8">
        <f>IF(AND(ISNUMBER(N19),ISNUMBER(O19),O19&gt;0),N19/(O19*10000),"")</f>
        <v/>
      </c>
      <c r="Q19" s="9" t="inlineStr"/>
      <c r="R19" s="9" t="inlineStr">
        <is>
          <t>https://paimai.jd.com/311173860</t>
        </is>
      </c>
    </row>
    <row r="20">
      <c r="A20" s="2" t="inlineStr">
        <is>
          <t>福建省</t>
        </is>
      </c>
      <c r="B20" s="2" t="inlineStr">
        <is>
          <t>泉州市</t>
        </is>
      </c>
      <c r="C20" s="2" t="inlineStr">
        <is>
          <t>丰泽区</t>
        </is>
      </c>
      <c r="D20" s="2" t="inlineStr">
        <is>
          <t>御殿花园04#404住宅</t>
        </is>
      </c>
      <c r="E20" s="2" t="inlineStr">
        <is>
          <t>御殿花园</t>
        </is>
      </c>
      <c r="F20" s="2" t="inlineStr">
        <is>
          <t>住宅</t>
        </is>
      </c>
      <c r="G20" s="2" t="inlineStr">
        <is>
          <t>京东拍卖</t>
        </is>
      </c>
      <c r="H20" s="2" t="inlineStr">
        <is>
          <t>二拍</t>
        </is>
      </c>
      <c r="I20" s="12" t="n">
        <v>46279.41666666666</v>
      </c>
      <c r="J20" s="2" t="inlineStr">
        <is>
          <t>即将开始</t>
        </is>
      </c>
      <c r="K20" s="2" t="inlineStr">
        <is>
          <t>泉州市丰泽区人民法院</t>
        </is>
      </c>
      <c r="L20" s="4" t="n">
        <v>145.82</v>
      </c>
      <c r="M20" s="5">
        <f>IF(AND(ISNUMBER(N20),ISNUMBER(L20),L20&gt;0),ROUND(N20/L20,2),"")</f>
        <v/>
      </c>
      <c r="N20" s="6" t="n">
        <v>864000</v>
      </c>
      <c r="O20" s="13" t="n">
        <v>134.868918</v>
      </c>
      <c r="P20" s="8">
        <f>IF(AND(ISNUMBER(N20),ISNUMBER(O20),O20&gt;0),N20/(O20*10000),"")</f>
        <v/>
      </c>
      <c r="Q20" s="9" t="inlineStr"/>
      <c r="R20" s="9" t="inlineStr">
        <is>
          <t>https://paimai.jd.com/311173868</t>
        </is>
      </c>
    </row>
    <row r="21">
      <c r="A21" s="2" t="inlineStr">
        <is>
          <t>福建省</t>
        </is>
      </c>
      <c r="B21" s="2" t="inlineStr">
        <is>
          <t>泉州市</t>
        </is>
      </c>
      <c r="C21" s="2" t="inlineStr">
        <is>
          <t>丰泽区</t>
        </is>
      </c>
      <c r="D21" s="2" t="inlineStr">
        <is>
          <t>崇德华庭02#401住宅</t>
        </is>
      </c>
      <c r="E21" s="2" t="inlineStr">
        <is>
          <t>崇德华庭</t>
        </is>
      </c>
      <c r="F21" s="2" t="inlineStr">
        <is>
          <t>住宅</t>
        </is>
      </c>
      <c r="G21" s="2" t="inlineStr">
        <is>
          <t>京东拍卖</t>
        </is>
      </c>
      <c r="H21" s="2" t="inlineStr">
        <is>
          <t>二拍</t>
        </is>
      </c>
      <c r="I21" s="12" t="n">
        <v>46279.41666666666</v>
      </c>
      <c r="J21" s="2" t="inlineStr">
        <is>
          <t>即将开始</t>
        </is>
      </c>
      <c r="K21" s="2" t="inlineStr">
        <is>
          <t>泉州市丰泽区人民法院</t>
        </is>
      </c>
      <c r="L21" s="4" t="n">
        <v>90.3</v>
      </c>
      <c r="M21" s="5">
        <f>IF(AND(ISNUMBER(N21),ISNUMBER(L21),L21&gt;0),ROUND(N21/L21,2),"")</f>
        <v/>
      </c>
      <c r="N21" s="6" t="n">
        <v>616000</v>
      </c>
      <c r="O21" s="13" t="n">
        <v>95.47902000000001</v>
      </c>
      <c r="P21" s="8">
        <f>IF(AND(ISNUMBER(N21),ISNUMBER(O21),O21&gt;0),N21/(O21*10000),"")</f>
        <v/>
      </c>
      <c r="Q21" s="9" t="inlineStr"/>
      <c r="R21" s="9" t="inlineStr">
        <is>
          <t>https://paimai.jd.com/311173881</t>
        </is>
      </c>
    </row>
    <row r="22">
      <c r="A22" s="2" t="inlineStr">
        <is>
          <t>福建省</t>
        </is>
      </c>
      <c r="B22" s="2" t="inlineStr">
        <is>
          <t>泉州市</t>
        </is>
      </c>
      <c r="C22" s="2" t="inlineStr">
        <is>
          <t>丰泽区</t>
        </is>
      </c>
      <c r="D22" s="2" t="inlineStr">
        <is>
          <t>宝荣华庭04#2203住宅</t>
        </is>
      </c>
      <c r="E22" s="2" t="inlineStr">
        <is>
          <t>宝荣华庭</t>
        </is>
      </c>
      <c r="F22" s="2" t="inlineStr">
        <is>
          <t>住宅</t>
        </is>
      </c>
      <c r="G22" s="2" t="inlineStr">
        <is>
          <t>京东拍卖</t>
        </is>
      </c>
      <c r="H22" s="2" t="inlineStr">
        <is>
          <t>二拍</t>
        </is>
      </c>
      <c r="I22" s="12" t="n">
        <v>46279.41666666666</v>
      </c>
      <c r="J22" s="2" t="inlineStr">
        <is>
          <t>即将开始</t>
        </is>
      </c>
      <c r="K22" s="2" t="inlineStr">
        <is>
          <t>泉州市丰泽区人民法院</t>
        </is>
      </c>
      <c r="L22" s="4" t="n">
        <v>143.14</v>
      </c>
      <c r="M22" s="5">
        <f>IF(AND(ISNUMBER(N22),ISNUMBER(L22),L22&gt;0),ROUND(N22/L22,2),"")</f>
        <v/>
      </c>
      <c r="N22" s="6" t="n">
        <v>792000</v>
      </c>
      <c r="O22" s="13" t="n">
        <v>122.914318</v>
      </c>
      <c r="P22" s="8">
        <f>IF(AND(ISNUMBER(N22),ISNUMBER(O22),O22&gt;0),N22/(O22*10000),"")</f>
        <v/>
      </c>
      <c r="Q22" s="9" t="inlineStr"/>
      <c r="R22" s="9" t="inlineStr">
        <is>
          <t>https://paimai.jd.com/311173886</t>
        </is>
      </c>
    </row>
    <row r="23">
      <c r="A23" s="2" t="inlineStr">
        <is>
          <t>福建省</t>
        </is>
      </c>
      <c r="B23" s="2" t="inlineStr">
        <is>
          <t>泉州市</t>
        </is>
      </c>
      <c r="C23" s="2" t="inlineStr">
        <is>
          <t>丰泽区</t>
        </is>
      </c>
      <c r="D23" s="2" t="inlineStr">
        <is>
          <t>宝荣华庭04#1703住宅</t>
        </is>
      </c>
      <c r="E23" s="2" t="inlineStr">
        <is>
          <t>宝荣华庭</t>
        </is>
      </c>
      <c r="F23" s="2" t="inlineStr">
        <is>
          <t>住宅</t>
        </is>
      </c>
      <c r="G23" s="2" t="inlineStr">
        <is>
          <t>京东拍卖</t>
        </is>
      </c>
      <c r="H23" s="2" t="inlineStr">
        <is>
          <t>二拍</t>
        </is>
      </c>
      <c r="I23" s="12" t="n">
        <v>46279.41666666666</v>
      </c>
      <c r="J23" s="2" t="inlineStr">
        <is>
          <t>即将开始</t>
        </is>
      </c>
      <c r="K23" s="2" t="inlineStr">
        <is>
          <t>泉州市丰泽区人民法院</t>
        </is>
      </c>
      <c r="L23" s="4" t="n">
        <v>143.14</v>
      </c>
      <c r="M23" s="5">
        <f>IF(AND(ISNUMBER(N23),ISNUMBER(L23),L23&gt;0),ROUND(N23/L23,2),"")</f>
        <v/>
      </c>
      <c r="N23" s="6" t="n">
        <v>768800</v>
      </c>
      <c r="O23" s="13" t="n">
        <v>120.123088</v>
      </c>
      <c r="P23" s="8">
        <f>IF(AND(ISNUMBER(N23),ISNUMBER(O23),O23&gt;0),N23/(O23*10000),"")</f>
        <v/>
      </c>
      <c r="Q23" s="9" t="inlineStr"/>
      <c r="R23" s="9" t="inlineStr">
        <is>
          <t>https://paimai.jd.com/311173887</t>
        </is>
      </c>
    </row>
    <row r="24">
      <c r="A24" s="2" t="inlineStr">
        <is>
          <t>福建省</t>
        </is>
      </c>
      <c r="B24" s="2" t="inlineStr">
        <is>
          <t>泉州市</t>
        </is>
      </c>
      <c r="C24" s="2" t="inlineStr">
        <is>
          <t>丰泽区</t>
        </is>
      </c>
      <c r="D24" s="2" t="inlineStr">
        <is>
          <t>宝荣华庭02#205住宅</t>
        </is>
      </c>
      <c r="E24" s="2" t="inlineStr">
        <is>
          <t>宝荣华庭</t>
        </is>
      </c>
      <c r="F24" s="2" t="inlineStr">
        <is>
          <t>住宅</t>
        </is>
      </c>
      <c r="G24" s="2" t="inlineStr">
        <is>
          <t>京东拍卖</t>
        </is>
      </c>
      <c r="H24" s="2" t="inlineStr">
        <is>
          <t>二拍</t>
        </is>
      </c>
      <c r="I24" s="12" t="n">
        <v>46279.41666666666</v>
      </c>
      <c r="J24" s="2" t="inlineStr">
        <is>
          <t>即将开始</t>
        </is>
      </c>
      <c r="K24" s="2" t="inlineStr">
        <is>
          <t>泉州市丰泽区人民法院</t>
        </is>
      </c>
      <c r="L24" s="4" t="n">
        <v>226.13</v>
      </c>
      <c r="M24" s="5">
        <f>IF(AND(ISNUMBER(N24),ISNUMBER(L24),L24&gt;0),ROUND(N24/L24,2),"")</f>
        <v/>
      </c>
      <c r="N24" s="6" t="n">
        <v>1040000</v>
      </c>
      <c r="O24" s="13" t="n">
        <v>162.474405</v>
      </c>
      <c r="P24" s="8">
        <f>IF(AND(ISNUMBER(N24),ISNUMBER(O24),O24&gt;0),N24/(O24*10000),"")</f>
        <v/>
      </c>
      <c r="Q24" s="9" t="inlineStr"/>
      <c r="R24" s="9" t="inlineStr">
        <is>
          <t>https://paimai.jd.com/311173894</t>
        </is>
      </c>
    </row>
    <row r="25">
      <c r="A25" s="2" t="inlineStr">
        <is>
          <t>福建省</t>
        </is>
      </c>
      <c r="B25" s="2" t="inlineStr">
        <is>
          <t>泉州市</t>
        </is>
      </c>
      <c r="C25" s="2" t="inlineStr">
        <is>
          <t>丰泽区</t>
        </is>
      </c>
      <c r="D25" s="2" t="inlineStr">
        <is>
          <t>宝荣华庭04#2303住宅</t>
        </is>
      </c>
      <c r="E25" s="2" t="inlineStr">
        <is>
          <t>宝荣华庭</t>
        </is>
      </c>
      <c r="F25" s="2" t="inlineStr">
        <is>
          <t>住宅</t>
        </is>
      </c>
      <c r="G25" s="2" t="inlineStr">
        <is>
          <t>京东拍卖</t>
        </is>
      </c>
      <c r="H25" s="2" t="inlineStr">
        <is>
          <t>二拍</t>
        </is>
      </c>
      <c r="I25" s="12" t="n">
        <v>46279.41666666666</v>
      </c>
      <c r="J25" s="2" t="inlineStr">
        <is>
          <t>即将开始</t>
        </is>
      </c>
      <c r="K25" s="2" t="inlineStr">
        <is>
          <t>泉州市丰泽区人民法院</t>
        </is>
      </c>
      <c r="L25" s="4" t="n">
        <v>143.14</v>
      </c>
      <c r="M25" s="5">
        <f>IF(AND(ISNUMBER(N25),ISNUMBER(L25),L25&gt;0),ROUND(N25/L25,2),"")</f>
        <v/>
      </c>
      <c r="N25" s="6" t="n">
        <v>792000</v>
      </c>
      <c r="O25" s="13" t="n">
        <v>123.472564</v>
      </c>
      <c r="P25" s="8">
        <f>IF(AND(ISNUMBER(N25),ISNUMBER(O25),O25&gt;0),N25/(O25*10000),"")</f>
        <v/>
      </c>
      <c r="Q25" s="9" t="inlineStr"/>
      <c r="R25" s="9" t="inlineStr">
        <is>
          <t>https://paimai.jd.com/311173931</t>
        </is>
      </c>
    </row>
    <row r="26">
      <c r="A26" s="2" t="inlineStr">
        <is>
          <t>福建省</t>
        </is>
      </c>
      <c r="B26" s="2" t="inlineStr">
        <is>
          <t>泉州市</t>
        </is>
      </c>
      <c r="C26" s="2" t="inlineStr">
        <is>
          <t>丰泽区</t>
        </is>
      </c>
      <c r="D26" s="2" t="inlineStr">
        <is>
          <t>北峰片区江滨路东侧，307省道西南侧，潘山东侧泉州万科城二期11号楼1302室房产</t>
        </is>
      </c>
      <c r="E26" s="2" t="inlineStr">
        <is>
          <t>泉州万科城</t>
        </is>
      </c>
      <c r="F26" s="2" t="inlineStr">
        <is>
          <t>住宅</t>
        </is>
      </c>
      <c r="G26" s="2" t="inlineStr">
        <is>
          <t>京东拍卖</t>
        </is>
      </c>
      <c r="H26" s="2" t="inlineStr">
        <is>
          <t>二拍</t>
        </is>
      </c>
      <c r="I26" s="12" t="n">
        <v>46279.41666666666</v>
      </c>
      <c r="J26" s="2" t="inlineStr">
        <is>
          <t>即将开始</t>
        </is>
      </c>
      <c r="K26" s="2" t="inlineStr">
        <is>
          <t>泉州市丰泽区人民法院</t>
        </is>
      </c>
      <c r="L26" s="4" t="n">
        <v>102.88</v>
      </c>
      <c r="M26" s="5">
        <f>IF(AND(ISNUMBER(N26),ISNUMBER(L26),L26&gt;0),ROUND(N26/L26,2),"")</f>
        <v/>
      </c>
      <c r="N26" s="6" t="n">
        <v>1056000</v>
      </c>
      <c r="O26" s="13" t="n">
        <v>164.608</v>
      </c>
      <c r="P26" s="8">
        <f>IF(AND(ISNUMBER(N26),ISNUMBER(O26),O26&gt;0),N26/(O26*10000),"")</f>
        <v/>
      </c>
      <c r="Q26" s="9" t="inlineStr"/>
      <c r="R26" s="9" t="inlineStr">
        <is>
          <t>https://paimai.jd.com/311173965</t>
        </is>
      </c>
    </row>
    <row r="27">
      <c r="A27" s="2" t="inlineStr">
        <is>
          <t>福建省</t>
        </is>
      </c>
      <c r="B27" s="2" t="inlineStr">
        <is>
          <t>泉州市</t>
        </is>
      </c>
      <c r="C27" s="2" t="inlineStr">
        <is>
          <t>丰泽区</t>
        </is>
      </c>
      <c r="D27" s="2" t="inlineStr">
        <is>
          <t>宝荣华庭01#1805住宅</t>
        </is>
      </c>
      <c r="E27" s="2" t="inlineStr">
        <is>
          <t>宝荣华庭</t>
        </is>
      </c>
      <c r="F27" s="2" t="inlineStr">
        <is>
          <t>住宅</t>
        </is>
      </c>
      <c r="G27" s="2" t="inlineStr">
        <is>
          <t>京东拍卖</t>
        </is>
      </c>
      <c r="H27" s="2" t="inlineStr">
        <is>
          <t>二拍</t>
        </is>
      </c>
      <c r="I27" s="12" t="n">
        <v>46279.41666666666</v>
      </c>
      <c r="J27" s="2" t="inlineStr">
        <is>
          <t>即将开始</t>
        </is>
      </c>
      <c r="K27" s="2" t="inlineStr">
        <is>
          <t>泉州市丰泽区人民法院</t>
        </is>
      </c>
      <c r="L27" s="4" t="n">
        <v>83.54000000000001</v>
      </c>
      <c r="M27" s="5">
        <f>IF(AND(ISNUMBER(N27),ISNUMBER(L27),L27&gt;0),ROUND(N27/L27,2),"")</f>
        <v/>
      </c>
      <c r="N27" s="6" t="n">
        <v>480000</v>
      </c>
      <c r="O27" s="13" t="n">
        <v>73.96631600000001</v>
      </c>
      <c r="P27" s="8">
        <f>IF(AND(ISNUMBER(N27),ISNUMBER(O27),O27&gt;0),N27/(O27*10000),"")</f>
        <v/>
      </c>
      <c r="Q27" s="9" t="inlineStr"/>
      <c r="R27" s="9" t="inlineStr">
        <is>
          <t>https://paimai.jd.com/311173982</t>
        </is>
      </c>
    </row>
    <row r="28">
      <c r="A28" s="2" t="inlineStr">
        <is>
          <t>福建省</t>
        </is>
      </c>
      <c r="B28" s="2" t="inlineStr">
        <is>
          <t>泉州市</t>
        </is>
      </c>
      <c r="C28" s="2" t="inlineStr">
        <is>
          <t>丰泽区</t>
        </is>
      </c>
      <c r="D28" s="2" t="inlineStr">
        <is>
          <t>宝荣华庭04#2003住宅</t>
        </is>
      </c>
      <c r="E28" s="2" t="inlineStr">
        <is>
          <t>宝荣华庭</t>
        </is>
      </c>
      <c r="F28" s="2" t="inlineStr">
        <is>
          <t>住宅</t>
        </is>
      </c>
      <c r="G28" s="2" t="inlineStr">
        <is>
          <t>京东拍卖</t>
        </is>
      </c>
      <c r="H28" s="2" t="inlineStr">
        <is>
          <t>二拍</t>
        </is>
      </c>
      <c r="I28" s="14" t="inlineStr">
        <is>
          <t>2026-09-14 10:00:00</t>
        </is>
      </c>
      <c r="J28" s="2" t="inlineStr">
        <is>
          <t>即将开始</t>
        </is>
      </c>
      <c r="K28" s="2" t="inlineStr">
        <is>
          <t>泉州市丰泽区人民法院</t>
        </is>
      </c>
      <c r="L28" s="4" t="n">
        <v>143.14</v>
      </c>
      <c r="M28" s="5">
        <f>IF(AND(ISNUMBER(N28),ISNUMBER(L28),L28&gt;0),ROUND(N28/L28,2),"")</f>
        <v/>
      </c>
      <c r="N28" s="6" t="n">
        <v>784000</v>
      </c>
      <c r="O28" s="13" t="n">
        <v>121.797826</v>
      </c>
      <c r="P28" s="8">
        <f>IF(AND(ISNUMBER(N28),ISNUMBER(O28),O28&gt;0),N28/(O28*10000),"")</f>
        <v/>
      </c>
      <c r="Q28" s="2" t="inlineStr">
        <is>
          <t>未找到评估报告</t>
        </is>
      </c>
      <c r="R28" s="11" t="inlineStr">
        <is>
          <t>https://paimai.jd.com/311173852</t>
        </is>
      </c>
    </row>
    <row r="29">
      <c r="A29" s="2" t="inlineStr">
        <is>
          <t>福建省</t>
        </is>
      </c>
      <c r="B29" s="2" t="inlineStr">
        <is>
          <t>泉州市</t>
        </is>
      </c>
      <c r="C29" s="2" t="inlineStr">
        <is>
          <t>惠安县</t>
        </is>
      </c>
      <c r="D29" s="2" t="inlineStr">
        <is>
          <t>螺阳镇阳川路2号3幢1梯1507房产</t>
        </is>
      </c>
      <c r="E29" s="2" t="inlineStr">
        <is>
          <t>奥林阳光</t>
        </is>
      </c>
      <c r="F29" s="2" t="inlineStr">
        <is>
          <t>住宅</t>
        </is>
      </c>
      <c r="G29" s="2" t="inlineStr">
        <is>
          <t>京东拍卖</t>
        </is>
      </c>
      <c r="H29" s="2" t="inlineStr">
        <is>
          <t>二拍</t>
        </is>
      </c>
      <c r="I29" s="12" t="n">
        <v>46277.41666666666</v>
      </c>
      <c r="J29" s="2" t="inlineStr">
        <is>
          <t>即将开始</t>
        </is>
      </c>
      <c r="K29" s="2" t="inlineStr">
        <is>
          <t>泉州市泉港区人民法院</t>
        </is>
      </c>
      <c r="L29" s="4" t="n">
        <v>89.33</v>
      </c>
      <c r="M29" s="5">
        <f>IF(AND(ISNUMBER(N29),ISNUMBER(L29),L29&gt;0),ROUND(N29/L29,2),"")</f>
        <v/>
      </c>
      <c r="N29" s="6" t="n">
        <v>270000</v>
      </c>
      <c r="O29" s="13" t="n">
        <v>43.996745</v>
      </c>
      <c r="P29" s="8">
        <f>IF(AND(ISNUMBER(N29),ISNUMBER(O29),O29&gt;0),N29/(O29*10000),"")</f>
        <v/>
      </c>
      <c r="Q29" s="9" t="inlineStr"/>
      <c r="R29" s="9" t="inlineStr">
        <is>
          <t>https://paimai.jd.com/311175681</t>
        </is>
      </c>
    </row>
    <row r="30">
      <c r="A30" s="2" t="inlineStr">
        <is>
          <t>福建省</t>
        </is>
      </c>
      <c r="B30" s="2" t="inlineStr">
        <is>
          <t>泉州市</t>
        </is>
      </c>
      <c r="C30" s="2" t="inlineStr">
        <is>
          <t>惠安县</t>
        </is>
      </c>
      <c r="D30" s="2" t="inlineStr">
        <is>
          <t>台商投资区张坂镇泉州世茂蓝色海湾S2013-22号地块（二期）11号楼1101房产</t>
        </is>
      </c>
      <c r="E30" s="2" t="inlineStr">
        <is>
          <t>世茂蓝色海湾</t>
        </is>
      </c>
      <c r="F30" s="2" t="inlineStr">
        <is>
          <t>住宅</t>
        </is>
      </c>
      <c r="G30" s="2" t="inlineStr">
        <is>
          <t>京东拍卖</t>
        </is>
      </c>
      <c r="H30" s="2" t="inlineStr">
        <is>
          <t>二拍</t>
        </is>
      </c>
      <c r="I30" s="12" t="n">
        <v>46277.41666666666</v>
      </c>
      <c r="J30" s="2" t="inlineStr">
        <is>
          <t>即将开始</t>
        </is>
      </c>
      <c r="K30" s="2" t="inlineStr">
        <is>
          <t>泉州市泉港区人民法院</t>
        </is>
      </c>
      <c r="L30" s="4" t="n">
        <v>100.35</v>
      </c>
      <c r="M30" s="5">
        <f>IF(AND(ISNUMBER(N30),ISNUMBER(L30),L30&gt;0),ROUND(N30/L30,2),"")</f>
        <v/>
      </c>
      <c r="N30" s="6" t="n">
        <v>460000</v>
      </c>
      <c r="O30" s="13" t="n">
        <v>52.914684</v>
      </c>
      <c r="P30" s="8">
        <f>IF(AND(ISNUMBER(N30),ISNUMBER(O30),O30&gt;0),N30/(O30*10000),"")</f>
        <v/>
      </c>
      <c r="Q30" s="9" t="inlineStr"/>
      <c r="R30" s="9" t="inlineStr">
        <is>
          <t>https://paimai.jd.com/311175709</t>
        </is>
      </c>
    </row>
    <row r="31">
      <c r="A31" s="2" t="inlineStr">
        <is>
          <t>福建省</t>
        </is>
      </c>
      <c r="B31" s="2" t="inlineStr">
        <is>
          <t>泉州市</t>
        </is>
      </c>
      <c r="C31" s="2" t="inlineStr">
        <is>
          <t>晋江市</t>
        </is>
      </c>
      <c r="D31" s="2" t="inlineStr">
        <is>
          <t>紫帽镇紫帽山农场、紫湖村晋江世茂紫帽山项目（G2014-25/G2013-46）号地块一期酒店</t>
        </is>
      </c>
      <c r="E31" s="2" t="inlineStr">
        <is>
          <t>晋江世茂紫帽山项目</t>
        </is>
      </c>
      <c r="F31" s="2" t="inlineStr">
        <is>
          <t>商业</t>
        </is>
      </c>
      <c r="G31" s="2" t="inlineStr">
        <is>
          <t>京东拍卖</t>
        </is>
      </c>
      <c r="H31" s="2" t="inlineStr">
        <is>
          <t>一拍</t>
        </is>
      </c>
      <c r="I31" s="12" t="n">
        <v>46293.41666666666</v>
      </c>
      <c r="J31" s="2" t="inlineStr">
        <is>
          <t>即将开始</t>
        </is>
      </c>
      <c r="K31" s="2" t="inlineStr">
        <is>
          <t>江苏省南京市中级人民法院</t>
        </is>
      </c>
      <c r="L31" s="4" t="n">
        <v>14605.21</v>
      </c>
      <c r="M31" s="5">
        <f>IF(AND(ISNUMBER(N31),ISNUMBER(L31),L31&gt;0),ROUND(N31/L31,2),"")</f>
        <v/>
      </c>
      <c r="N31" s="6" t="n">
        <v>89693000</v>
      </c>
      <c r="O31" s="13" t="n">
        <v>12813.15</v>
      </c>
      <c r="P31" s="8">
        <f>IF(AND(ISNUMBER(N31),ISNUMBER(O31),O31&gt;0),N31/(O31*10000),"")</f>
        <v/>
      </c>
      <c r="Q31" s="9" t="inlineStr"/>
      <c r="R31" s="9" t="inlineStr">
        <is>
          <t>https://paimai.jd.com/311177138</t>
        </is>
      </c>
    </row>
    <row r="32">
      <c r="A32" s="2" t="inlineStr">
        <is>
          <t>福建省</t>
        </is>
      </c>
      <c r="B32" s="2" t="inlineStr">
        <is>
          <t>泉州市</t>
        </is>
      </c>
      <c r="C32" s="2" t="inlineStr">
        <is>
          <t>晋江市</t>
        </is>
      </c>
      <c r="D32" s="2" t="inlineStr">
        <is>
          <t>内坑镇东西大道东侧、站前大道南侧、站南连接线北侧新龙城B地块2幢203住宅</t>
        </is>
      </c>
      <c r="E32" s="2" t="inlineStr">
        <is>
          <t>新龙城</t>
        </is>
      </c>
      <c r="F32" s="2" t="inlineStr">
        <is>
          <t>住宅</t>
        </is>
      </c>
      <c r="G32" s="2" t="inlineStr">
        <is>
          <t>京东拍卖</t>
        </is>
      </c>
      <c r="H32" s="2" t="inlineStr">
        <is>
          <t>变卖</t>
        </is>
      </c>
      <c r="I32" s="12" t="n">
        <v>46279.41666666666</v>
      </c>
      <c r="J32" s="2" t="inlineStr">
        <is>
          <t>即将开始</t>
        </is>
      </c>
      <c r="K32" s="2" t="inlineStr">
        <is>
          <t>晋江市人民法院</t>
        </is>
      </c>
      <c r="L32" s="4" t="n">
        <v>87.39</v>
      </c>
      <c r="M32" s="5">
        <f>IF(AND(ISNUMBER(N32),ISNUMBER(L32),L32&gt;0),ROUND(N32/L32,2),"")</f>
        <v/>
      </c>
      <c r="N32" s="6" t="n">
        <v>206996</v>
      </c>
      <c r="O32" s="13" t="n">
        <v>36.9635</v>
      </c>
      <c r="P32" s="8">
        <f>IF(AND(ISNUMBER(N32),ISNUMBER(O32),O32&gt;0),N32/(O32*10000),"")</f>
        <v/>
      </c>
      <c r="Q32" s="9" t="inlineStr"/>
      <c r="R32" s="9" t="inlineStr">
        <is>
          <t>https://paimai.jd.com/311173977</t>
        </is>
      </c>
    </row>
    <row r="33">
      <c r="A33" s="2" t="inlineStr">
        <is>
          <t>福建省</t>
        </is>
      </c>
      <c r="B33" s="2" t="inlineStr">
        <is>
          <t>泉州市</t>
        </is>
      </c>
      <c r="C33" s="2" t="inlineStr">
        <is>
          <t>鲤城区</t>
        </is>
      </c>
      <c r="D33" s="2" t="inlineStr">
        <is>
          <t>浮桥街道田中社区江滨南路南侧珑璟湾一期工程7号楼3101的房产及室内物品</t>
        </is>
      </c>
      <c r="E33" s="2" t="inlineStr">
        <is>
          <t>珑璟湾</t>
        </is>
      </c>
      <c r="F33" s="2" t="inlineStr">
        <is>
          <t>住宅</t>
        </is>
      </c>
      <c r="G33" s="2" t="inlineStr">
        <is>
          <t>京东拍卖</t>
        </is>
      </c>
      <c r="H33" s="2" t="inlineStr">
        <is>
          <t>一拍</t>
        </is>
      </c>
      <c r="I33" s="12" t="n">
        <v>46293.41666666666</v>
      </c>
      <c r="J33" s="2" t="inlineStr">
        <is>
          <t>即将开始</t>
        </is>
      </c>
      <c r="K33" s="2" t="inlineStr">
        <is>
          <t>南安市人民法院</t>
        </is>
      </c>
      <c r="L33" s="4" t="n">
        <v>163.56</v>
      </c>
      <c r="M33" s="5">
        <f>IF(AND(ISNUMBER(N33),ISNUMBER(L33),L33&gt;0),ROUND(N33/L33,2),"")</f>
        <v/>
      </c>
      <c r="N33" s="6" t="n">
        <v>1649410</v>
      </c>
      <c r="O33" s="13" t="n">
        <v>235.63</v>
      </c>
      <c r="P33" s="8">
        <f>IF(AND(ISNUMBER(N33),ISNUMBER(O33),O33&gt;0),N33/(O33*10000),"")</f>
        <v/>
      </c>
      <c r="Q33" s="9" t="inlineStr"/>
      <c r="R33" s="9" t="inlineStr">
        <is>
          <t>https://paimai.jd.com/311173808</t>
        </is>
      </c>
    </row>
    <row r="34">
      <c r="A34" s="2" t="inlineStr">
        <is>
          <t>福建省</t>
        </is>
      </c>
      <c r="B34" s="2" t="inlineStr">
        <is>
          <t>泉州市</t>
        </is>
      </c>
      <c r="C34" s="2" t="inlineStr">
        <is>
          <t>南安市</t>
        </is>
      </c>
      <c r="D34" s="2" t="inlineStr">
        <is>
          <t>诗山镇山二村富贵世家商住小区11号楼6层602室的房产</t>
        </is>
      </c>
      <c r="E34" s="2" t="inlineStr">
        <is>
          <t>富贵世家商住小区</t>
        </is>
      </c>
      <c r="F34" s="2" t="inlineStr">
        <is>
          <t>住宅</t>
        </is>
      </c>
      <c r="G34" s="2" t="inlineStr">
        <is>
          <t>京东拍卖</t>
        </is>
      </c>
      <c r="H34" s="2" t="inlineStr">
        <is>
          <t>一拍</t>
        </is>
      </c>
      <c r="I34" s="12" t="n">
        <v>46294.41666666666</v>
      </c>
      <c r="J34" s="2" t="inlineStr">
        <is>
          <t>即将开始</t>
        </is>
      </c>
      <c r="K34" s="2" t="inlineStr">
        <is>
          <t>南安市人民法院</t>
        </is>
      </c>
      <c r="L34" s="4" t="n">
        <v>109.56</v>
      </c>
      <c r="M34" s="5">
        <f>IF(AND(ISNUMBER(N34),ISNUMBER(L34),L34&gt;0),ROUND(N34/L34,2),"")</f>
        <v/>
      </c>
      <c r="N34" s="6" t="n">
        <v>306768</v>
      </c>
      <c r="O34" s="13" t="n">
        <v>43.824</v>
      </c>
      <c r="P34" s="8">
        <f>IF(AND(ISNUMBER(N34),ISNUMBER(O34),O34&gt;0),N34/(O34*10000),"")</f>
        <v/>
      </c>
      <c r="Q34" s="9" t="inlineStr"/>
      <c r="R34" s="9" t="inlineStr">
        <is>
          <t>https://paimai.jd.com/311177664</t>
        </is>
      </c>
    </row>
    <row r="35">
      <c r="A35" s="2" t="inlineStr">
        <is>
          <t>福建省</t>
        </is>
      </c>
      <c r="B35" s="2" t="inlineStr">
        <is>
          <t>泉州市</t>
        </is>
      </c>
      <c r="C35" s="2" t="inlineStr">
        <is>
          <t>泉港区</t>
        </is>
      </c>
      <c r="D35" s="2" t="inlineStr">
        <is>
          <t>泉港一中北侧逸涛学府新城13#楼1101房产</t>
        </is>
      </c>
      <c r="E35" s="2" t="inlineStr">
        <is>
          <t>逸涛学府新城</t>
        </is>
      </c>
      <c r="F35" s="2" t="inlineStr">
        <is>
          <t>住宅</t>
        </is>
      </c>
      <c r="G35" s="2" t="inlineStr">
        <is>
          <t>京东拍卖</t>
        </is>
      </c>
      <c r="H35" s="2" t="inlineStr">
        <is>
          <t>二拍</t>
        </is>
      </c>
      <c r="I35" s="12" t="n">
        <v>46277.41666666666</v>
      </c>
      <c r="J35" s="2" t="inlineStr">
        <is>
          <t>即将开始</t>
        </is>
      </c>
      <c r="K35" s="2" t="inlineStr">
        <is>
          <t>泉州市泉港区人民法院</t>
        </is>
      </c>
      <c r="L35" s="4" t="n">
        <v>142.1</v>
      </c>
      <c r="M35" s="5">
        <f>IF(AND(ISNUMBER(N35),ISNUMBER(L35),L35&gt;0),ROUND(N35/L35,2),"")</f>
        <v/>
      </c>
      <c r="N35" s="6" t="n">
        <v>500000</v>
      </c>
      <c r="O35" s="13" t="n">
        <v>79.295134</v>
      </c>
      <c r="P35" s="8">
        <f>IF(AND(ISNUMBER(N35),ISNUMBER(O35),O35&gt;0),N35/(O35*10000),"")</f>
        <v/>
      </c>
      <c r="Q35" s="9" t="inlineStr"/>
      <c r="R35" s="9" t="inlineStr">
        <is>
          <t>https://paimai.jd.com/311175358</t>
        </is>
      </c>
    </row>
    <row r="36">
      <c r="A36" s="2" t="inlineStr">
        <is>
          <t>福建省</t>
        </is>
      </c>
      <c r="B36" s="2" t="inlineStr">
        <is>
          <t>泉州市</t>
        </is>
      </c>
      <c r="C36" s="2" t="inlineStr">
        <is>
          <t>泉港区</t>
        </is>
      </c>
      <c r="D36" s="2" t="inlineStr">
        <is>
          <t>前黄镇通站路西侧晶鑫华庭1#楼302房产</t>
        </is>
      </c>
      <c r="E36" s="2" t="inlineStr">
        <is>
          <t>晶鑫华庭</t>
        </is>
      </c>
      <c r="F36" s="2" t="inlineStr">
        <is>
          <t>住宅</t>
        </is>
      </c>
      <c r="G36" s="2" t="inlineStr">
        <is>
          <t>京东拍卖</t>
        </is>
      </c>
      <c r="H36" s="2" t="inlineStr">
        <is>
          <t>二拍</t>
        </is>
      </c>
      <c r="I36" s="12" t="n">
        <v>46277.41666666666</v>
      </c>
      <c r="J36" s="2" t="inlineStr">
        <is>
          <t>即将开始</t>
        </is>
      </c>
      <c r="K36" s="2" t="inlineStr">
        <is>
          <t>泉州市泉港区人民法院</t>
        </is>
      </c>
      <c r="L36" s="4" t="n">
        <v>141.54</v>
      </c>
      <c r="M36" s="5">
        <f>IF(AND(ISNUMBER(N36),ISNUMBER(L36),L36&gt;0),ROUND(N36/L36,2),"")</f>
        <v/>
      </c>
      <c r="N36" s="6" t="n">
        <v>350000</v>
      </c>
      <c r="O36" s="13" t="n">
        <v>57.829112</v>
      </c>
      <c r="P36" s="8">
        <f>IF(AND(ISNUMBER(N36),ISNUMBER(O36),O36&gt;0),N36/(O36*10000),"")</f>
        <v/>
      </c>
      <c r="Q36" s="9" t="inlineStr"/>
      <c r="R36" s="9" t="inlineStr">
        <is>
          <t>https://paimai.jd.com/311175400</t>
        </is>
      </c>
    </row>
    <row r="37">
      <c r="A37" s="2" t="inlineStr">
        <is>
          <t>福建省</t>
        </is>
      </c>
      <c r="B37" s="2" t="inlineStr">
        <is>
          <t>泉州市</t>
        </is>
      </c>
      <c r="C37" s="2" t="inlineStr">
        <is>
          <t>泉港区</t>
        </is>
      </c>
      <c r="D37" s="2" t="inlineStr">
        <is>
          <t>川沙路与南北三路西北侧华盛时代新城（二期）5#、6#楼6#1901房产</t>
        </is>
      </c>
      <c r="E37" s="2" t="inlineStr">
        <is>
          <t>华盛时代新城</t>
        </is>
      </c>
      <c r="F37" s="2" t="inlineStr">
        <is>
          <t>住宅</t>
        </is>
      </c>
      <c r="G37" s="2" t="inlineStr">
        <is>
          <t>京东拍卖</t>
        </is>
      </c>
      <c r="H37" s="2" t="inlineStr">
        <is>
          <t>二拍</t>
        </is>
      </c>
      <c r="I37" s="12" t="n">
        <v>46277.41666666666</v>
      </c>
      <c r="J37" s="2" t="inlineStr">
        <is>
          <t>即将开始</t>
        </is>
      </c>
      <c r="K37" s="2" t="inlineStr">
        <is>
          <t>泉州市泉港区人民法院</t>
        </is>
      </c>
      <c r="L37" s="4" t="n">
        <v>136.57</v>
      </c>
      <c r="M37" s="5">
        <f>IF(AND(ISNUMBER(N37),ISNUMBER(L37),L37&gt;0),ROUND(N37/L37,2),"")</f>
        <v/>
      </c>
      <c r="N37" s="6" t="n">
        <v>380000</v>
      </c>
      <c r="O37" s="13" t="n">
        <v>58.574873</v>
      </c>
      <c r="P37" s="8">
        <f>IF(AND(ISNUMBER(N37),ISNUMBER(O37),O37&gt;0),N37/(O37*10000),"")</f>
        <v/>
      </c>
      <c r="Q37" s="9" t="inlineStr"/>
      <c r="R37" s="9" t="inlineStr">
        <is>
          <t>https://paimai.jd.com/311175455</t>
        </is>
      </c>
    </row>
    <row r="38">
      <c r="A38" s="2" t="inlineStr">
        <is>
          <t>福建省</t>
        </is>
      </c>
      <c r="B38" s="2" t="inlineStr">
        <is>
          <t>泉州市</t>
        </is>
      </c>
      <c r="C38" s="2" t="inlineStr">
        <is>
          <t>泉港区</t>
        </is>
      </c>
      <c r="D38" s="2" t="inlineStr">
        <is>
          <t>驿峰中路南侧华兴商城1#楼307复式房产</t>
        </is>
      </c>
      <c r="E38" s="2" t="inlineStr">
        <is>
          <t>华兴商城</t>
        </is>
      </c>
      <c r="F38" s="2" t="inlineStr">
        <is>
          <t>住宅</t>
        </is>
      </c>
      <c r="G38" s="2" t="inlineStr">
        <is>
          <t>京东拍卖</t>
        </is>
      </c>
      <c r="H38" s="2" t="inlineStr">
        <is>
          <t>二拍</t>
        </is>
      </c>
      <c r="I38" s="12" t="n">
        <v>46277.41666666666</v>
      </c>
      <c r="J38" s="2" t="inlineStr">
        <is>
          <t>即将开始</t>
        </is>
      </c>
      <c r="K38" s="2" t="inlineStr">
        <is>
          <t>泉州市泉港区人民法院</t>
        </is>
      </c>
      <c r="L38" s="4" t="n">
        <v>214.45</v>
      </c>
      <c r="M38" s="5">
        <f>IF(AND(ISNUMBER(N38),ISNUMBER(L38),L38&gt;0),ROUND(N38/L38,2),"")</f>
        <v/>
      </c>
      <c r="N38" s="6" t="n">
        <v>400000</v>
      </c>
      <c r="O38" s="13" t="n">
        <v>63.970435</v>
      </c>
      <c r="P38" s="8">
        <f>IF(AND(ISNUMBER(N38),ISNUMBER(O38),O38&gt;0),N38/(O38*10000),"")</f>
        <v/>
      </c>
      <c r="Q38" s="9" t="inlineStr"/>
      <c r="R38" s="9" t="inlineStr">
        <is>
          <t>https://paimai.jd.com/311175682</t>
        </is>
      </c>
    </row>
    <row r="39">
      <c r="A39" s="2" t="inlineStr">
        <is>
          <t>福建省</t>
        </is>
      </c>
      <c r="B39" s="2" t="inlineStr">
        <is>
          <t>泉州市</t>
        </is>
      </c>
      <c r="C39" s="2" t="inlineStr">
        <is>
          <t>泉港区</t>
        </is>
      </c>
      <c r="D39" s="2" t="inlineStr">
        <is>
          <t>驿峰中路北侧华泉·盛世豪庭6#楼1308房产</t>
        </is>
      </c>
      <c r="E39" s="2" t="inlineStr">
        <is>
          <t>盛世豪庭</t>
        </is>
      </c>
      <c r="F39" s="2" t="inlineStr">
        <is>
          <t>住宅</t>
        </is>
      </c>
      <c r="G39" s="2" t="inlineStr">
        <is>
          <t>京东拍卖</t>
        </is>
      </c>
      <c r="H39" s="2" t="inlineStr">
        <is>
          <t>二拍</t>
        </is>
      </c>
      <c r="I39" s="12" t="n">
        <v>46277.41666666666</v>
      </c>
      <c r="J39" s="2" t="inlineStr">
        <is>
          <t>即将开始</t>
        </is>
      </c>
      <c r="K39" s="2" t="inlineStr">
        <is>
          <t>泉州市泉港区人民法院</t>
        </is>
      </c>
      <c r="L39" s="4" t="n">
        <v>125.6</v>
      </c>
      <c r="M39" s="5">
        <f>IF(AND(ISNUMBER(N39),ISNUMBER(L39),L39&gt;0),ROUND(N39/L39,2),"")</f>
        <v/>
      </c>
      <c r="N39" s="6" t="n">
        <v>400000</v>
      </c>
      <c r="O39" s="13" t="n">
        <v>62.717611</v>
      </c>
      <c r="P39" s="8">
        <f>IF(AND(ISNUMBER(N39),ISNUMBER(O39),O39&gt;0),N39/(O39*10000),"")</f>
        <v/>
      </c>
      <c r="Q39" s="9" t="inlineStr"/>
      <c r="R39" s="9" t="inlineStr">
        <is>
          <t>https://paimai.jd.com/311175730</t>
        </is>
      </c>
    </row>
  </sheetData>
  <autoFilter ref="A1:R39"/>
  <hyperlinks>
    <hyperlink xmlns:r="http://schemas.openxmlformats.org/officeDocument/2006/relationships" ref="R28" display="https://paimai.jd.com/311173852" r:id="rId1"/>
  </hyperlink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showGridLines="0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4" sqref="D4:D14"/>
    </sheetView>
  </sheetViews>
  <sheetFormatPr baseColWidth="8" defaultColWidth="9" defaultRowHeight="13.5"/>
  <cols>
    <col width="10" customWidth="1" min="1" max="2"/>
    <col width="11" customWidth="1" min="3" max="3"/>
    <col width="42" customWidth="1" min="4" max="4"/>
    <col width="24" customWidth="1" min="5" max="5"/>
    <col width="10" customWidth="1" min="6" max="6"/>
    <col width="11" customWidth="1" min="7" max="7"/>
    <col width="10" customWidth="1" min="8" max="8"/>
    <col width="11" customWidth="1" min="9" max="9"/>
    <col width="14" customWidth="1" min="10" max="10"/>
    <col width="23" customWidth="1" min="11" max="11"/>
    <col width="12" customWidth="1" min="12" max="12"/>
    <col width="16" customWidth="1" min="13" max="13"/>
    <col width="14" customWidth="1" min="14" max="14"/>
    <col width="15" customWidth="1" min="15" max="15"/>
    <col width="12" customWidth="1" min="16" max="16"/>
    <col width="14" customWidth="1" min="17" max="17"/>
    <col width="12" customWidth="1" min="18" max="18"/>
    <col width="14" customWidth="1" min="19" max="19"/>
    <col width="12" customWidth="1" min="20" max="21"/>
    <col width="32" customWidth="1" min="22" max="22"/>
    <col width="48" customWidth="1" min="23" max="23"/>
  </cols>
  <sheetData>
    <row r="1" ht="28" customHeight="1">
      <c r="A1" s="1" t="inlineStr">
        <is>
          <t>所在省份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标的名称</t>
        </is>
      </c>
      <c r="E1" s="1" t="inlineStr">
        <is>
          <t>小区名称（仅供参考）</t>
        </is>
      </c>
      <c r="F1" s="1" t="inlineStr">
        <is>
          <t>标的类型</t>
        </is>
      </c>
      <c r="G1" s="1" t="inlineStr">
        <is>
          <t>平台</t>
        </is>
      </c>
      <c r="H1" s="1" t="inlineStr">
        <is>
          <t>发拍次数</t>
        </is>
      </c>
      <c r="I1" s="1" t="inlineStr">
        <is>
          <t>拍卖时间</t>
        </is>
      </c>
      <c r="J1" s="1" t="inlineStr">
        <is>
          <t>是否成交</t>
        </is>
      </c>
      <c r="K1" s="1" t="inlineStr">
        <is>
          <t>处置法院</t>
        </is>
      </c>
      <c r="L1" s="1" t="inlineStr">
        <is>
          <t>面积/㎡</t>
        </is>
      </c>
      <c r="M1" s="1" t="inlineStr">
        <is>
          <t>起拍单价-元/㎡</t>
        </is>
      </c>
      <c r="N1" s="1" t="inlineStr">
        <is>
          <t>起拍价格</t>
        </is>
      </c>
      <c r="O1" s="1" t="inlineStr">
        <is>
          <t>评估价(万元)</t>
        </is>
      </c>
      <c r="P1" s="1" t="inlineStr">
        <is>
          <t>折扣率(%)</t>
        </is>
      </c>
      <c r="Q1" s="1" t="inlineStr">
        <is>
          <t>成交金额</t>
        </is>
      </c>
      <c r="R1" s="1" t="inlineStr">
        <is>
          <t>溢价率</t>
        </is>
      </c>
      <c r="S1" s="1" t="inlineStr">
        <is>
          <t>成交单价</t>
        </is>
      </c>
      <c r="T1" s="1" t="inlineStr">
        <is>
          <t>竞买记录</t>
        </is>
      </c>
      <c r="U1" s="1" t="inlineStr">
        <is>
          <t>报名人数</t>
        </is>
      </c>
      <c r="V1" s="1" t="inlineStr">
        <is>
          <t>备注</t>
        </is>
      </c>
      <c r="W1" s="1" t="inlineStr">
        <is>
          <t>网站链接</t>
        </is>
      </c>
    </row>
    <row r="2">
      <c r="A2" s="2" t="inlineStr">
        <is>
          <t>福建省</t>
        </is>
      </c>
      <c r="B2" s="2" t="inlineStr">
        <is>
          <t>泉州市</t>
        </is>
      </c>
      <c r="C2" s="2" t="inlineStr">
        <is>
          <t>鲤城区</t>
        </is>
      </c>
      <c r="D2" s="2" t="inlineStr">
        <is>
          <t>经济技术开发区金盾商住花苑14号楼406</t>
        </is>
      </c>
      <c r="E2" s="2" t="inlineStr">
        <is>
          <t>金盾商住花苑</t>
        </is>
      </c>
      <c r="F2" s="2" t="inlineStr">
        <is>
          <t>住宅</t>
        </is>
      </c>
      <c r="G2" s="2" t="inlineStr">
        <is>
          <t>京东拍卖</t>
        </is>
      </c>
      <c r="H2" s="2" t="inlineStr">
        <is>
          <t>二拍</t>
        </is>
      </c>
      <c r="I2" s="12" t="n">
        <v>46262.41666666666</v>
      </c>
      <c r="J2" s="2" t="inlineStr">
        <is>
          <t>是</t>
        </is>
      </c>
      <c r="K2" s="2" t="inlineStr">
        <is>
          <t>福建省泉州市中级人民法院</t>
        </is>
      </c>
      <c r="L2" s="4" t="n">
        <v>151.83</v>
      </c>
      <c r="M2" s="5">
        <f>IF(AND(ISNUMBER(N2),ISNUMBER(L2),L2&gt;0),ROUND(N2/L2,2),"")</f>
        <v/>
      </c>
      <c r="N2" s="6" t="n">
        <v>437000</v>
      </c>
      <c r="O2" s="13" t="n">
        <v>77.9875</v>
      </c>
      <c r="P2" s="8">
        <f>IF(AND(ISNUMBER(N2),ISNUMBER(O2),O2&gt;0),N2/(O2*10000),"")</f>
        <v/>
      </c>
      <c r="Q2" s="6" t="n">
        <v>481000</v>
      </c>
      <c r="R2" s="8">
        <f>IF(AND(ISNUMBER(Q2),ISNUMBER(N2),N2&gt;0),(Q2-N2)/N2,"")</f>
        <v/>
      </c>
      <c r="S2" s="5">
        <f>IF(AND(ISNUMBER(Q2),ISNUMBER(L2),L2&gt;0),ROUND(Q2/L2,2),"")</f>
        <v/>
      </c>
      <c r="T2" s="6" t="n">
        <v>12</v>
      </c>
      <c r="U2" s="6" t="n">
        <v>2</v>
      </c>
      <c r="V2" s="9" t="inlineStr"/>
      <c r="W2" s="9" t="inlineStr">
        <is>
          <t>https://paimai.jd.com/311087346</t>
        </is>
      </c>
    </row>
    <row r="3">
      <c r="A3" s="2" t="inlineStr">
        <is>
          <t>福建省</t>
        </is>
      </c>
      <c r="B3" s="2" t="inlineStr">
        <is>
          <t>泉州市</t>
        </is>
      </c>
      <c r="C3" s="2" t="inlineStr">
        <is>
          <t>南安市</t>
        </is>
      </c>
      <c r="D3" s="2" t="inlineStr">
        <is>
          <t>水头镇林炳片区C地块改造工程（怡景园）3号楼11层1112室的房产及室内物品</t>
        </is>
      </c>
      <c r="E3" s="2" t="inlineStr">
        <is>
          <t>怡景园</t>
        </is>
      </c>
      <c r="F3" s="2" t="inlineStr">
        <is>
          <t>住宅</t>
        </is>
      </c>
      <c r="G3" s="2" t="inlineStr">
        <is>
          <t>京东拍卖</t>
        </is>
      </c>
      <c r="H3" s="2" t="inlineStr">
        <is>
          <t>二拍</t>
        </is>
      </c>
      <c r="I3" s="12" t="n">
        <v>46262.41666666666</v>
      </c>
      <c r="J3" s="2" t="inlineStr">
        <is>
          <t>是</t>
        </is>
      </c>
      <c r="K3" s="2" t="inlineStr">
        <is>
          <t>南安市人民法院</t>
        </is>
      </c>
      <c r="L3" s="4" t="n">
        <v>92.27</v>
      </c>
      <c r="M3" s="5">
        <f>IF(AND(ISNUMBER(N3),ISNUMBER(L3),L3&gt;0),ROUND(N3/L3,2),"")</f>
        <v/>
      </c>
      <c r="N3" s="6" t="n">
        <v>258687</v>
      </c>
      <c r="O3" s="13" t="n">
        <v>46.194</v>
      </c>
      <c r="P3" s="8">
        <f>IF(AND(ISNUMBER(N3),ISNUMBER(O3),O3&gt;0),N3/(O3*10000),"")</f>
        <v/>
      </c>
      <c r="Q3" s="6" t="n">
        <v>258687</v>
      </c>
      <c r="R3" s="8">
        <f>IF(AND(ISNUMBER(Q3),ISNUMBER(N3),N3&gt;0),(Q3-N3)/N3,"")</f>
        <v/>
      </c>
      <c r="S3" s="5">
        <f>IF(AND(ISNUMBER(Q3),ISNUMBER(L3),L3&gt;0),ROUND(Q3/L3,2),"")</f>
        <v/>
      </c>
      <c r="T3" s="6" t="n">
        <v>1</v>
      </c>
      <c r="U3" s="6" t="n">
        <v>2</v>
      </c>
      <c r="V3" s="9" t="inlineStr"/>
      <c r="W3" s="9" t="inlineStr">
        <is>
          <t>https://paimai.jd.com/311082404</t>
        </is>
      </c>
    </row>
    <row r="4">
      <c r="A4" s="2" t="inlineStr">
        <is>
          <t>福建省</t>
        </is>
      </c>
      <c r="B4" s="2" t="inlineStr">
        <is>
          <t>泉州市</t>
        </is>
      </c>
      <c r="C4" s="2" t="inlineStr">
        <is>
          <t>石狮市</t>
        </is>
      </c>
      <c r="D4" s="2" t="inlineStr">
        <is>
          <t>石龙路288号世茂摩天城I-A-39幢01单元、02单元不动产</t>
        </is>
      </c>
      <c r="E4" s="2" t="inlineStr">
        <is>
          <t>世茂摩天城</t>
        </is>
      </c>
      <c r="F4" s="2" t="inlineStr">
        <is>
          <t>住宅</t>
        </is>
      </c>
      <c r="G4" s="2" t="inlineStr">
        <is>
          <t>京东拍卖</t>
        </is>
      </c>
      <c r="H4" s="2" t="inlineStr">
        <is>
          <t>一拍</t>
        </is>
      </c>
      <c r="I4" s="12" t="n">
        <v>46262.41666666666</v>
      </c>
      <c r="J4" s="2" t="inlineStr">
        <is>
          <t>是</t>
        </is>
      </c>
      <c r="K4" s="2" t="inlineStr">
        <is>
          <t>江苏省南京市中级人民法院</t>
        </is>
      </c>
      <c r="L4" s="4" t="n">
        <v>946.2</v>
      </c>
      <c r="M4" s="5">
        <f>IF(AND(ISNUMBER(N4),ISNUMBER(L4),L4&gt;0),ROUND(N4/L4,2),"")</f>
        <v/>
      </c>
      <c r="N4" s="6" t="n">
        <v>8296000</v>
      </c>
      <c r="O4" s="13" t="n">
        <v>1185.12</v>
      </c>
      <c r="P4" s="8">
        <f>IF(AND(ISNUMBER(N4),ISNUMBER(O4),O4&gt;0),N4/(O4*10000),"")</f>
        <v/>
      </c>
      <c r="Q4" s="6" t="n">
        <v>8296000</v>
      </c>
      <c r="R4" s="8">
        <f>IF(AND(ISNUMBER(Q4),ISNUMBER(N4),N4&gt;0),(Q4-N4)/N4,"")</f>
        <v/>
      </c>
      <c r="S4" s="5">
        <f>IF(AND(ISNUMBER(Q4),ISNUMBER(L4),L4&gt;0),ROUND(Q4/L4,2),"")</f>
        <v/>
      </c>
      <c r="T4" s="6" t="n">
        <v>1</v>
      </c>
      <c r="U4" s="6" t="n">
        <v>3</v>
      </c>
      <c r="V4" s="2" t="inlineStr">
        <is>
          <t>71.56/874.64共946.2㎡，人工需复核</t>
        </is>
      </c>
      <c r="W4" s="9" t="inlineStr">
        <is>
          <t>https://paimai.jd.com/311017746</t>
        </is>
      </c>
    </row>
    <row r="5">
      <c r="A5" s="2" t="inlineStr">
        <is>
          <t>福建省</t>
        </is>
      </c>
      <c r="B5" s="2" t="inlineStr">
        <is>
          <t>泉州市</t>
        </is>
      </c>
      <c r="C5" s="2" t="inlineStr">
        <is>
          <t>石狮市</t>
        </is>
      </c>
      <c r="D5" s="2" t="inlineStr">
        <is>
          <t>石龙路288号世茂摩天城I-A-25幢01单元、02单元不动产</t>
        </is>
      </c>
      <c r="E5" s="2" t="inlineStr">
        <is>
          <t>世茂摩天城</t>
        </is>
      </c>
      <c r="F5" s="2" t="inlineStr">
        <is>
          <t>住宅</t>
        </is>
      </c>
      <c r="G5" s="2" t="inlineStr">
        <is>
          <t>京东拍卖</t>
        </is>
      </c>
      <c r="H5" s="2" t="inlineStr">
        <is>
          <t>一拍</t>
        </is>
      </c>
      <c r="I5" s="12" t="n">
        <v>46262.41666666666</v>
      </c>
      <c r="J5" s="2" t="inlineStr">
        <is>
          <t>是</t>
        </is>
      </c>
      <c r="K5" s="2" t="inlineStr">
        <is>
          <t>江苏省南京市中级人民法院</t>
        </is>
      </c>
      <c r="L5" s="4" t="n">
        <v>946.2</v>
      </c>
      <c r="M5" s="5">
        <f>IF(AND(ISNUMBER(N5),ISNUMBER(L5),L5&gt;0),ROUND(N5/L5,2),"")</f>
        <v/>
      </c>
      <c r="N5" s="6" t="n">
        <v>8296000</v>
      </c>
      <c r="O5" s="13" t="n">
        <v>1185.12</v>
      </c>
      <c r="P5" s="8">
        <f>IF(AND(ISNUMBER(N5),ISNUMBER(O5),O5&gt;0),N5/(O5*10000),"")</f>
        <v/>
      </c>
      <c r="Q5" s="6" t="n">
        <v>10456000</v>
      </c>
      <c r="R5" s="8">
        <f>IF(AND(ISNUMBER(Q5),ISNUMBER(N5),N5&gt;0),(Q5-N5)/N5,"")</f>
        <v/>
      </c>
      <c r="S5" s="5">
        <f>IF(AND(ISNUMBER(Q5),ISNUMBER(L5),L5&gt;0),ROUND(Q5/L5,2),"")</f>
        <v/>
      </c>
      <c r="T5" s="6" t="n">
        <v>46</v>
      </c>
      <c r="U5" s="6" t="n">
        <v>6</v>
      </c>
      <c r="V5" s="2" t="inlineStr">
        <is>
          <t>71.56/874.64共946.2㎡，人工需复核</t>
        </is>
      </c>
      <c r="W5" s="9" t="inlineStr">
        <is>
          <t>https://paimai.jd.com/311017756</t>
        </is>
      </c>
    </row>
    <row r="6">
      <c r="A6" s="2" t="inlineStr">
        <is>
          <t>福建省</t>
        </is>
      </c>
      <c r="B6" s="2" t="inlineStr">
        <is>
          <t>泉州市</t>
        </is>
      </c>
      <c r="C6" s="2" t="inlineStr">
        <is>
          <t>石狮市</t>
        </is>
      </c>
      <c r="D6" s="2" t="inlineStr">
        <is>
          <t>石龙路288号世茂摩天城一期A20幢01室、02室不动产</t>
        </is>
      </c>
      <c r="E6" s="2" t="inlineStr">
        <is>
          <t>世茂摩天城</t>
        </is>
      </c>
      <c r="F6" s="2" t="inlineStr">
        <is>
          <t>住宅</t>
        </is>
      </c>
      <c r="G6" s="2" t="inlineStr">
        <is>
          <t>京东拍卖</t>
        </is>
      </c>
      <c r="H6" s="2" t="inlineStr">
        <is>
          <t>一拍</t>
        </is>
      </c>
      <c r="I6" s="12" t="n">
        <v>46262.41666666666</v>
      </c>
      <c r="J6" s="2" t="inlineStr">
        <is>
          <t>是</t>
        </is>
      </c>
      <c r="K6" s="2" t="inlineStr">
        <is>
          <t>江苏省南京市中级人民法院</t>
        </is>
      </c>
      <c r="L6" s="4" t="n">
        <v>980.62</v>
      </c>
      <c r="M6" s="5">
        <f>IF(AND(ISNUMBER(N6),ISNUMBER(L6),L6&gt;0),ROUND(N6/L6,2),"")</f>
        <v/>
      </c>
      <c r="N6" s="6" t="n">
        <v>8597700</v>
      </c>
      <c r="O6" s="13" t="n">
        <v>1228.23</v>
      </c>
      <c r="P6" s="8">
        <f>IF(AND(ISNUMBER(N6),ISNUMBER(O6),O6&gt;0),N6/(O6*10000),"")</f>
        <v/>
      </c>
      <c r="Q6" s="6" t="n">
        <v>8597700</v>
      </c>
      <c r="R6" s="8">
        <f>IF(AND(ISNUMBER(Q6),ISNUMBER(N6),N6&gt;0),(Q6-N6)/N6,"")</f>
        <v/>
      </c>
      <c r="S6" s="5">
        <f>IF(AND(ISNUMBER(Q6),ISNUMBER(L6),L6&gt;0),ROUND(Q6/L6,2),"")</f>
        <v/>
      </c>
      <c r="T6" s="6" t="n">
        <v>1</v>
      </c>
      <c r="U6" s="6" t="n">
        <v>2</v>
      </c>
      <c r="V6" s="2" t="inlineStr">
        <is>
          <t>72.55/908.07共980.62㎡，人工需复核</t>
        </is>
      </c>
      <c r="W6" s="9" t="inlineStr">
        <is>
          <t>https://paimai.jd.com/311017783</t>
        </is>
      </c>
    </row>
    <row r="7">
      <c r="A7" s="2" t="inlineStr">
        <is>
          <t>福建省</t>
        </is>
      </c>
      <c r="B7" s="2" t="inlineStr">
        <is>
          <t>泉州市</t>
        </is>
      </c>
      <c r="C7" s="2" t="inlineStr">
        <is>
          <t>石狮市</t>
        </is>
      </c>
      <c r="D7" s="2" t="inlineStr">
        <is>
          <t>石龙路288号世茂摩天城一期B75幢02室不动产</t>
        </is>
      </c>
      <c r="E7" s="2" t="inlineStr">
        <is>
          <t>世茂摩天城</t>
        </is>
      </c>
      <c r="F7" s="2" t="inlineStr">
        <is>
          <t>住宅</t>
        </is>
      </c>
      <c r="G7" s="2" t="inlineStr">
        <is>
          <t>京东拍卖</t>
        </is>
      </c>
      <c r="H7" s="2" t="inlineStr">
        <is>
          <t>一拍</t>
        </is>
      </c>
      <c r="I7" s="12" t="n">
        <v>46262.41666666666</v>
      </c>
      <c r="J7" s="2" t="inlineStr">
        <is>
          <t>是</t>
        </is>
      </c>
      <c r="K7" s="2" t="inlineStr">
        <is>
          <t>江苏省南京市中级人民法院</t>
        </is>
      </c>
      <c r="L7" s="4" t="n">
        <v>481.02</v>
      </c>
      <c r="M7" s="5">
        <f>IF(AND(ISNUMBER(N7),ISNUMBER(L7),L7&gt;0),ROUND(N7/L7,2),"")</f>
        <v/>
      </c>
      <c r="N7" s="6" t="n">
        <v>3841300</v>
      </c>
      <c r="O7" s="13" t="n">
        <v>548.75</v>
      </c>
      <c r="P7" s="8">
        <f>IF(AND(ISNUMBER(N7),ISNUMBER(O7),O7&gt;0),N7/(O7*10000),"")</f>
        <v/>
      </c>
      <c r="Q7" s="6" t="n">
        <v>4096300</v>
      </c>
      <c r="R7" s="8">
        <f>IF(AND(ISNUMBER(Q7),ISNUMBER(N7),N7&gt;0),(Q7-N7)/N7,"")</f>
        <v/>
      </c>
      <c r="S7" s="5">
        <f>IF(AND(ISNUMBER(Q7),ISNUMBER(L7),L7&gt;0),ROUND(Q7/L7,2),"")</f>
        <v/>
      </c>
      <c r="T7" s="6" t="n">
        <v>18</v>
      </c>
      <c r="U7" s="6" t="n">
        <v>2</v>
      </c>
      <c r="V7" s="9" t="inlineStr"/>
      <c r="W7" s="9" t="inlineStr">
        <is>
          <t>https://paimai.jd.com/311017794</t>
        </is>
      </c>
    </row>
    <row r="8">
      <c r="A8" s="2" t="inlineStr">
        <is>
          <t>福建省</t>
        </is>
      </c>
      <c r="B8" s="2" t="inlineStr">
        <is>
          <t>泉州市</t>
        </is>
      </c>
      <c r="C8" s="2" t="inlineStr">
        <is>
          <t>石狮市</t>
        </is>
      </c>
      <c r="D8" s="2" t="inlineStr">
        <is>
          <t>石龙路288号世茂摩天城一期A15幢01室、02室不动产</t>
        </is>
      </c>
      <c r="E8" s="2" t="inlineStr">
        <is>
          <t>世茂摩天城</t>
        </is>
      </c>
      <c r="F8" s="2" t="inlineStr">
        <is>
          <t>住宅</t>
        </is>
      </c>
      <c r="G8" s="2" t="inlineStr">
        <is>
          <t>京东拍卖</t>
        </is>
      </c>
      <c r="H8" s="2" t="inlineStr">
        <is>
          <t>一拍</t>
        </is>
      </c>
      <c r="I8" s="12" t="n">
        <v>46262.41666666666</v>
      </c>
      <c r="J8" s="2" t="inlineStr">
        <is>
          <t>是</t>
        </is>
      </c>
      <c r="K8" s="2" t="inlineStr">
        <is>
          <t>江苏省南京市中级人民法院</t>
        </is>
      </c>
      <c r="L8" s="4" t="n">
        <v>947.17</v>
      </c>
      <c r="M8" s="5">
        <f>IF(AND(ISNUMBER(N8),ISNUMBER(L8),L8&gt;0),ROUND(N8/L8,2),"")</f>
        <v/>
      </c>
      <c r="N8" s="6" t="n">
        <v>8650400</v>
      </c>
      <c r="O8" s="13" t="n">
        <v>1235.77</v>
      </c>
      <c r="P8" s="8">
        <f>IF(AND(ISNUMBER(N8),ISNUMBER(O8),O8&gt;0),N8/(O8*10000),"")</f>
        <v/>
      </c>
      <c r="Q8" s="6" t="n">
        <v>12130400</v>
      </c>
      <c r="R8" s="8">
        <f>IF(AND(ISNUMBER(Q8),ISNUMBER(N8),N8&gt;0),(Q8-N8)/N8,"")</f>
        <v/>
      </c>
      <c r="S8" s="5">
        <f>IF(AND(ISNUMBER(Q8),ISNUMBER(L8),L8&gt;0),ROUND(Q8/L8,2),"")</f>
        <v/>
      </c>
      <c r="T8" s="6" t="n">
        <v>81</v>
      </c>
      <c r="U8" s="6" t="n">
        <v>5</v>
      </c>
      <c r="V8" s="2" t="inlineStr">
        <is>
          <t>72.55/874.62共947.17㎡，人工需复核</t>
        </is>
      </c>
      <c r="W8" s="9" t="inlineStr">
        <is>
          <t>https://paimai.jd.com/311017807</t>
        </is>
      </c>
    </row>
    <row r="9">
      <c r="A9" s="2" t="inlineStr">
        <is>
          <t>福建省</t>
        </is>
      </c>
      <c r="B9" s="2" t="inlineStr">
        <is>
          <t>泉州市</t>
        </is>
      </c>
      <c r="C9" s="2" t="inlineStr">
        <is>
          <t>石狮市</t>
        </is>
      </c>
      <c r="D9" s="2" t="inlineStr">
        <is>
          <t>石龙路288号世茂摩天城一期B75幢03室不动产</t>
        </is>
      </c>
      <c r="E9" s="2" t="inlineStr">
        <is>
          <t>世茂摩天城</t>
        </is>
      </c>
      <c r="F9" s="2" t="inlineStr">
        <is>
          <t>住宅</t>
        </is>
      </c>
      <c r="G9" s="2" t="inlineStr">
        <is>
          <t>京东拍卖</t>
        </is>
      </c>
      <c r="H9" s="2" t="inlineStr">
        <is>
          <t>一拍</t>
        </is>
      </c>
      <c r="I9" s="12" t="n">
        <v>46262.41666666666</v>
      </c>
      <c r="J9" s="2" t="inlineStr">
        <is>
          <t>是</t>
        </is>
      </c>
      <c r="K9" s="2" t="inlineStr">
        <is>
          <t>江苏省南京市中级人民法院</t>
        </is>
      </c>
      <c r="L9" s="4" t="n">
        <v>481.45</v>
      </c>
      <c r="M9" s="5">
        <f>IF(AND(ISNUMBER(N9),ISNUMBER(L9),L9&gt;0),ROUND(N9/L9,2),"")</f>
        <v/>
      </c>
      <c r="N9" s="6" t="n">
        <v>3844700</v>
      </c>
      <c r="O9" s="13" t="n">
        <v>549.24</v>
      </c>
      <c r="P9" s="8">
        <f>IF(AND(ISNUMBER(N9),ISNUMBER(O9),O9&gt;0),N9/(O9*10000),"")</f>
        <v/>
      </c>
      <c r="Q9" s="6" t="n">
        <v>3844700</v>
      </c>
      <c r="R9" s="8">
        <f>IF(AND(ISNUMBER(Q9),ISNUMBER(N9),N9&gt;0),(Q9-N9)/N9,"")</f>
        <v/>
      </c>
      <c r="S9" s="5">
        <f>IF(AND(ISNUMBER(Q9),ISNUMBER(L9),L9&gt;0),ROUND(Q9/L9,2),"")</f>
        <v/>
      </c>
      <c r="T9" s="6" t="n">
        <v>1</v>
      </c>
      <c r="U9" s="6" t="n">
        <v>2</v>
      </c>
      <c r="V9" s="9" t="inlineStr"/>
      <c r="W9" s="9" t="inlineStr">
        <is>
          <t>https://paimai.jd.com/311017833</t>
        </is>
      </c>
    </row>
    <row r="10">
      <c r="A10" s="2" t="inlineStr">
        <is>
          <t>福建省</t>
        </is>
      </c>
      <c r="B10" s="2" t="inlineStr">
        <is>
          <t>泉州市</t>
        </is>
      </c>
      <c r="C10" s="2" t="inlineStr">
        <is>
          <t>石狮市</t>
        </is>
      </c>
      <c r="D10" s="2" t="inlineStr">
        <is>
          <t>石龙路288号世茂摩天城一期A16幢01室、02室不动产</t>
        </is>
      </c>
      <c r="E10" s="2" t="inlineStr">
        <is>
          <t>世茂摩天城</t>
        </is>
      </c>
      <c r="F10" s="2" t="inlineStr">
        <is>
          <t>住宅</t>
        </is>
      </c>
      <c r="G10" s="2" t="inlineStr">
        <is>
          <t>京东拍卖</t>
        </is>
      </c>
      <c r="H10" s="2" t="inlineStr">
        <is>
          <t>一拍</t>
        </is>
      </c>
      <c r="I10" s="12" t="n">
        <v>46262.41666666666</v>
      </c>
      <c r="J10" s="2" t="inlineStr">
        <is>
          <t>是</t>
        </is>
      </c>
      <c r="K10" s="2" t="inlineStr">
        <is>
          <t>江苏省南京市中级人民法院</t>
        </is>
      </c>
      <c r="L10" s="4" t="n">
        <v>949.61</v>
      </c>
      <c r="M10" s="5">
        <f>IF(AND(ISNUMBER(N10),ISNUMBER(L10),L10&gt;0),ROUND(N10/L10,2),"")</f>
        <v/>
      </c>
      <c r="N10" s="6" t="n">
        <v>8325800</v>
      </c>
      <c r="O10" s="13" t="n">
        <v>1189.39</v>
      </c>
      <c r="P10" s="8">
        <f>IF(AND(ISNUMBER(N10),ISNUMBER(O10),O10&gt;0),N10/(O10*10000),"")</f>
        <v/>
      </c>
      <c r="Q10" s="6" t="n">
        <v>11165800</v>
      </c>
      <c r="R10" s="8">
        <f>IF(AND(ISNUMBER(Q10),ISNUMBER(N10),N10&gt;0),(Q10-N10)/N10,"")</f>
        <v/>
      </c>
      <c r="S10" s="5">
        <f>IF(AND(ISNUMBER(Q10),ISNUMBER(L10),L10&gt;0),ROUND(Q10/L10,2),"")</f>
        <v/>
      </c>
      <c r="T10" s="6" t="n">
        <v>52</v>
      </c>
      <c r="U10" s="6" t="n">
        <v>5</v>
      </c>
      <c r="V10" s="2" t="inlineStr">
        <is>
          <t>72.55/877.06共949.61㎡，人工需复核</t>
        </is>
      </c>
      <c r="W10" s="9" t="inlineStr">
        <is>
          <t>https://paimai.jd.com/311017842</t>
        </is>
      </c>
    </row>
    <row r="11">
      <c r="A11" s="2" t="inlineStr">
        <is>
          <t>福建省</t>
        </is>
      </c>
      <c r="B11" s="2" t="inlineStr">
        <is>
          <t>泉州市</t>
        </is>
      </c>
      <c r="C11" s="2" t="inlineStr">
        <is>
          <t>石狮市</t>
        </is>
      </c>
      <c r="D11" s="2" t="inlineStr">
        <is>
          <t>石龙路288号世茂摩天城I-A-52幢01单元、02单元不动产</t>
        </is>
      </c>
      <c r="E11" s="2" t="inlineStr">
        <is>
          <t>世茂摩天城</t>
        </is>
      </c>
      <c r="F11" s="2" t="inlineStr">
        <is>
          <t>住宅</t>
        </is>
      </c>
      <c r="G11" s="2" t="inlineStr">
        <is>
          <t>京东拍卖</t>
        </is>
      </c>
      <c r="H11" s="2" t="inlineStr">
        <is>
          <t>一拍</t>
        </is>
      </c>
      <c r="I11" s="12" t="n">
        <v>46262.41666666666</v>
      </c>
      <c r="J11" s="2" t="inlineStr">
        <is>
          <t>是</t>
        </is>
      </c>
      <c r="K11" s="2" t="inlineStr">
        <is>
          <t>江苏省南京市中级人民法院</t>
        </is>
      </c>
      <c r="L11" s="4" t="n">
        <v>1033.5</v>
      </c>
      <c r="M11" s="5">
        <f>IF(AND(ISNUMBER(N11),ISNUMBER(L11),L11&gt;0),ROUND(N11/L11,2),"")</f>
        <v/>
      </c>
      <c r="N11" s="6" t="n">
        <v>8880800</v>
      </c>
      <c r="O11" s="13" t="n">
        <v>1268.62</v>
      </c>
      <c r="P11" s="8">
        <f>IF(AND(ISNUMBER(N11),ISNUMBER(O11),O11&gt;0),N11/(O11*10000),"")</f>
        <v/>
      </c>
      <c r="Q11" s="6" t="n">
        <v>11560800</v>
      </c>
      <c r="R11" s="8">
        <f>IF(AND(ISNUMBER(Q11),ISNUMBER(N11),N11&gt;0),(Q11-N11)/N11,"")</f>
        <v/>
      </c>
      <c r="S11" s="5">
        <f>IF(AND(ISNUMBER(Q11),ISNUMBER(L11),L11&gt;0),ROUND(Q11/L11,2),"")</f>
        <v/>
      </c>
      <c r="T11" s="6" t="n">
        <v>51</v>
      </c>
      <c r="U11" s="6" t="n">
        <v>6</v>
      </c>
      <c r="V11" s="2" t="inlineStr">
        <is>
          <t>71.56/961.94共1033.5㎡，人工需复核</t>
        </is>
      </c>
      <c r="W11" s="9" t="inlineStr">
        <is>
          <t>https://paimai.jd.com/311017846</t>
        </is>
      </c>
    </row>
    <row r="12">
      <c r="A12" s="2" t="inlineStr">
        <is>
          <t>福建省</t>
        </is>
      </c>
      <c r="B12" s="2" t="inlineStr">
        <is>
          <t>泉州市</t>
        </is>
      </c>
      <c r="C12" s="2" t="inlineStr">
        <is>
          <t>石狮市</t>
        </is>
      </c>
      <c r="D12" s="2" t="inlineStr">
        <is>
          <t>石龙路288号世茂摩天城一期B75幢06室</t>
        </is>
      </c>
      <c r="E12" s="2" t="inlineStr">
        <is>
          <t>世茂摩天城</t>
        </is>
      </c>
      <c r="F12" s="2" t="inlineStr">
        <is>
          <t>住宅</t>
        </is>
      </c>
      <c r="G12" s="2" t="inlineStr">
        <is>
          <t>京东拍卖</t>
        </is>
      </c>
      <c r="H12" s="2" t="inlineStr">
        <is>
          <t>一拍</t>
        </is>
      </c>
      <c r="I12" s="12" t="n">
        <v>46262.41666666666</v>
      </c>
      <c r="J12" s="2" t="inlineStr">
        <is>
          <t>是</t>
        </is>
      </c>
      <c r="K12" s="2" t="inlineStr">
        <is>
          <t>江苏省南京市中级人民法院</t>
        </is>
      </c>
      <c r="L12" s="4" t="n">
        <v>481.02</v>
      </c>
      <c r="M12" s="5">
        <f>IF(AND(ISNUMBER(N12),ISNUMBER(L12),L12&gt;0),ROUND(N12/L12,2),"")</f>
        <v/>
      </c>
      <c r="N12" s="6" t="n">
        <v>3841300</v>
      </c>
      <c r="O12" s="13" t="n">
        <v>548.75</v>
      </c>
      <c r="P12" s="8">
        <f>IF(AND(ISNUMBER(N12),ISNUMBER(O12),O12&gt;0),N12/(O12*10000),"")</f>
        <v/>
      </c>
      <c r="Q12" s="6" t="n">
        <v>3886300</v>
      </c>
      <c r="R12" s="8">
        <f>IF(AND(ISNUMBER(Q12),ISNUMBER(N12),N12&gt;0),(Q12-N12)/N12,"")</f>
        <v/>
      </c>
      <c r="S12" s="5">
        <f>IF(AND(ISNUMBER(Q12),ISNUMBER(L12),L12&gt;0),ROUND(Q12/L12,2),"")</f>
        <v/>
      </c>
      <c r="T12" s="6" t="n">
        <v>4</v>
      </c>
      <c r="U12" s="6" t="n">
        <v>3</v>
      </c>
      <c r="V12" s="9" t="inlineStr"/>
      <c r="W12" s="9" t="inlineStr">
        <is>
          <t>https://paimai.jd.com/311017863</t>
        </is>
      </c>
    </row>
    <row r="13">
      <c r="A13" s="2" t="inlineStr">
        <is>
          <t>福建省</t>
        </is>
      </c>
      <c r="B13" s="2" t="inlineStr">
        <is>
          <t>泉州市</t>
        </is>
      </c>
      <c r="C13" s="2" t="inlineStr">
        <is>
          <t>石狮市</t>
        </is>
      </c>
      <c r="D13" s="2" t="inlineStr">
        <is>
          <t>石龙路288号世茂摩天城一期B75幢05室不动产</t>
        </is>
      </c>
      <c r="E13" s="2" t="inlineStr">
        <is>
          <t>世茂摩天城</t>
        </is>
      </c>
      <c r="F13" s="2" t="inlineStr">
        <is>
          <t>住宅</t>
        </is>
      </c>
      <c r="G13" s="2" t="inlineStr">
        <is>
          <t>京东拍卖</t>
        </is>
      </c>
      <c r="H13" s="2" t="inlineStr">
        <is>
          <t>一拍</t>
        </is>
      </c>
      <c r="I13" s="12" t="n">
        <v>46262.41666666666</v>
      </c>
      <c r="J13" s="2" t="inlineStr">
        <is>
          <t>是</t>
        </is>
      </c>
      <c r="K13" s="2" t="inlineStr">
        <is>
          <t>江苏省南京市中级人民法院</t>
        </is>
      </c>
      <c r="L13" s="4" t="n">
        <v>483.68</v>
      </c>
      <c r="M13" s="5">
        <f>IF(AND(ISNUMBER(N13),ISNUMBER(L13),L13&gt;0),ROUND(N13/L13,2),"")</f>
        <v/>
      </c>
      <c r="N13" s="6" t="n">
        <v>3862500</v>
      </c>
      <c r="O13" s="13" t="n">
        <v>551.78</v>
      </c>
      <c r="P13" s="8">
        <f>IF(AND(ISNUMBER(N13),ISNUMBER(O13),O13&gt;0),N13/(O13*10000),"")</f>
        <v/>
      </c>
      <c r="Q13" s="6" t="n">
        <v>4012500</v>
      </c>
      <c r="R13" s="8">
        <f>IF(AND(ISNUMBER(Q13),ISNUMBER(N13),N13&gt;0),(Q13-N13)/N13,"")</f>
        <v/>
      </c>
      <c r="S13" s="5">
        <f>IF(AND(ISNUMBER(Q13),ISNUMBER(L13),L13&gt;0),ROUND(Q13/L13,2),"")</f>
        <v/>
      </c>
      <c r="T13" s="6" t="n">
        <v>11</v>
      </c>
      <c r="U13" s="6" t="n">
        <v>3</v>
      </c>
      <c r="V13" s="9" t="inlineStr"/>
      <c r="W13" s="9" t="inlineStr">
        <is>
          <t>https://paimai.jd.com/311017878</t>
        </is>
      </c>
    </row>
    <row r="14">
      <c r="A14" s="2" t="inlineStr">
        <is>
          <t>福建省</t>
        </is>
      </c>
      <c r="B14" s="2" t="inlineStr">
        <is>
          <t>泉州市</t>
        </is>
      </c>
      <c r="C14" s="2" t="inlineStr">
        <is>
          <t>石狮市</t>
        </is>
      </c>
      <c r="D14" s="2" t="inlineStr">
        <is>
          <t>石龙路288号世茂摩天城一期A13幢01室、02室不动产</t>
        </is>
      </c>
      <c r="E14" s="2" t="inlineStr">
        <is>
          <t>世茂摩天城</t>
        </is>
      </c>
      <c r="F14" s="2" t="inlineStr">
        <is>
          <t>住宅</t>
        </is>
      </c>
      <c r="G14" s="2" t="inlineStr">
        <is>
          <t>京东拍卖</t>
        </is>
      </c>
      <c r="H14" s="2" t="inlineStr">
        <is>
          <t>一拍</t>
        </is>
      </c>
      <c r="I14" s="12" t="n">
        <v>46262.41666666666</v>
      </c>
      <c r="J14" s="2" t="inlineStr">
        <is>
          <t>是</t>
        </is>
      </c>
      <c r="K14" s="2" t="inlineStr">
        <is>
          <t>江苏省南京市中级人民法院</t>
        </is>
      </c>
      <c r="L14" s="4" t="n">
        <v>947.17</v>
      </c>
      <c r="M14" s="5">
        <f>IF(AND(ISNUMBER(N14),ISNUMBER(L14),L14&gt;0),ROUND(N14/L14,2),"")</f>
        <v/>
      </c>
      <c r="N14" s="6" t="n">
        <v>8650400</v>
      </c>
      <c r="O14" s="13" t="n">
        <v>1235.77</v>
      </c>
      <c r="P14" s="8">
        <f>IF(AND(ISNUMBER(N14),ISNUMBER(O14),O14&gt;0),N14/(O14*10000),"")</f>
        <v/>
      </c>
      <c r="Q14" s="6" t="n">
        <v>12490400</v>
      </c>
      <c r="R14" s="8">
        <f>IF(AND(ISNUMBER(Q14),ISNUMBER(N14),N14&gt;0),(Q14-N14)/N14,"")</f>
        <v/>
      </c>
      <c r="S14" s="5">
        <f>IF(AND(ISNUMBER(Q14),ISNUMBER(L14),L14&gt;0),ROUND(Q14/L14,2),"")</f>
        <v/>
      </c>
      <c r="T14" s="6" t="n">
        <v>84</v>
      </c>
      <c r="U14" s="6" t="n">
        <v>5</v>
      </c>
      <c r="V14" s="2" t="inlineStr">
        <is>
          <t>72.55/874.62共947.17㎡，人工需复核</t>
        </is>
      </c>
      <c r="W14" s="9" t="inlineStr">
        <is>
          <t>https://paimai.jd.com/311017893</t>
        </is>
      </c>
    </row>
  </sheetData>
  <autoFilter ref="A1:W14"/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xSplit="3" ySplit="1" topLeftCell="P2" activePane="bottomRight" state="frozen"/>
      <selection activeCell="A1" sqref="A1"/>
      <selection pane="topRight" activeCell="A1" sqref="A1"/>
      <selection pane="bottomLeft" activeCell="A1" sqref="A1"/>
      <selection pane="bottomRight" activeCell="S7" sqref="S7:S8"/>
    </sheetView>
  </sheetViews>
  <sheetFormatPr baseColWidth="8" defaultColWidth="9" defaultRowHeight="13.5" outlineLevelRow="7"/>
  <cols>
    <col width="10" customWidth="1" min="1" max="2"/>
    <col width="11" customWidth="1" min="3" max="3"/>
    <col width="42" customWidth="1" min="4" max="4"/>
    <col width="24" customWidth="1" min="5" max="5"/>
    <col width="10" customWidth="1" min="6" max="6"/>
    <col width="11" customWidth="1" min="7" max="7"/>
    <col width="10" customWidth="1" min="8" max="8"/>
    <col width="11" customWidth="1" min="9" max="9"/>
    <col width="14" customWidth="1" min="10" max="10"/>
    <col width="23" customWidth="1" min="11" max="11"/>
    <col width="12" customWidth="1" min="12" max="12"/>
    <col width="16" customWidth="1" min="13" max="13"/>
    <col width="14" customWidth="1" min="14" max="14"/>
    <col width="15" customWidth="1" min="15" max="15"/>
    <col width="12" customWidth="1" min="16" max="18"/>
    <col width="32" customWidth="1" min="19" max="19"/>
    <col width="48" customWidth="1" min="20" max="20"/>
  </cols>
  <sheetData>
    <row r="1" ht="28" customHeight="1">
      <c r="A1" s="1" t="inlineStr">
        <is>
          <t>所在省份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标的名称</t>
        </is>
      </c>
      <c r="E1" s="1" t="inlineStr">
        <is>
          <t>小区名称（仅供参考）</t>
        </is>
      </c>
      <c r="F1" s="1" t="inlineStr">
        <is>
          <t>标的类型</t>
        </is>
      </c>
      <c r="G1" s="1" t="inlineStr">
        <is>
          <t>平台</t>
        </is>
      </c>
      <c r="H1" s="1" t="inlineStr">
        <is>
          <t>发拍次数</t>
        </is>
      </c>
      <c r="I1" s="1" t="inlineStr">
        <is>
          <t>拍卖时间</t>
        </is>
      </c>
      <c r="J1" s="1" t="inlineStr">
        <is>
          <t>是否成交</t>
        </is>
      </c>
      <c r="K1" s="1" t="inlineStr">
        <is>
          <t>处置法院</t>
        </is>
      </c>
      <c r="L1" s="1" t="inlineStr">
        <is>
          <t>面积/㎡</t>
        </is>
      </c>
      <c r="M1" s="1" t="inlineStr">
        <is>
          <t>起拍单价-元/㎡</t>
        </is>
      </c>
      <c r="N1" s="1" t="inlineStr">
        <is>
          <t>起拍价格</t>
        </is>
      </c>
      <c r="O1" s="1" t="inlineStr">
        <is>
          <t>评估价(万元)</t>
        </is>
      </c>
      <c r="P1" s="1" t="inlineStr">
        <is>
          <t>折扣率(%)</t>
        </is>
      </c>
      <c r="Q1" s="1" t="inlineStr">
        <is>
          <t>竞买记录</t>
        </is>
      </c>
      <c r="R1" s="1" t="inlineStr">
        <is>
          <t>报名人数</t>
        </is>
      </c>
      <c r="S1" s="1" t="inlineStr">
        <is>
          <t>备注</t>
        </is>
      </c>
      <c r="T1" s="1" t="inlineStr">
        <is>
          <t>网站链接</t>
        </is>
      </c>
    </row>
    <row r="2">
      <c r="A2" s="2" t="inlineStr">
        <is>
          <t>福建省</t>
        </is>
      </c>
      <c r="B2" s="2" t="inlineStr">
        <is>
          <t>泉州市</t>
        </is>
      </c>
      <c r="C2" s="2" t="inlineStr">
        <is>
          <t>南安市</t>
        </is>
      </c>
      <c r="D2" s="2" t="inlineStr">
        <is>
          <t>水头镇荷楼片区首期星鞍桥安置区（东星荷景园）3C号楼1层109号店、110号店、111号店、112号店、113号店、114号店的不动产</t>
        </is>
      </c>
      <c r="E2" s="2" t="inlineStr">
        <is>
          <t>东星荷景园</t>
        </is>
      </c>
      <c r="F2" s="2" t="inlineStr">
        <is>
          <t>住宅</t>
        </is>
      </c>
      <c r="G2" s="2" t="inlineStr">
        <is>
          <t>京东拍卖</t>
        </is>
      </c>
      <c r="H2" s="2" t="inlineStr">
        <is>
          <t>变卖</t>
        </is>
      </c>
      <c r="I2" s="12" t="n">
        <v>46262.41666666666</v>
      </c>
      <c r="J2" s="2" t="inlineStr">
        <is>
          <t>否</t>
        </is>
      </c>
      <c r="K2" s="2" t="inlineStr">
        <is>
          <t>南安市人民法院</t>
        </is>
      </c>
      <c r="L2" s="4" t="n">
        <v>490.83</v>
      </c>
      <c r="M2" s="5">
        <f>IF(AND(ISNUMBER(N2),ISNUMBER(L2),L2&gt;0),ROUND(N2/L2,2),"")</f>
        <v/>
      </c>
      <c r="N2" s="6" t="n">
        <v>5804456</v>
      </c>
      <c r="O2" s="13" t="n">
        <v>1036.51</v>
      </c>
      <c r="P2" s="8">
        <f>IF(AND(ISNUMBER(N2),ISNUMBER(O2),O2&gt;0),N2/(O2*10000),"")</f>
        <v/>
      </c>
      <c r="Q2" s="6" t="n">
        <v>0</v>
      </c>
      <c r="R2" s="6" t="n">
        <v>0</v>
      </c>
      <c r="S2" s="9" t="inlineStr"/>
      <c r="T2" s="9" t="inlineStr">
        <is>
          <t>https://paimai.jd.com/310823191</t>
        </is>
      </c>
    </row>
    <row r="3">
      <c r="A3" s="2" t="inlineStr">
        <is>
          <t>福建省</t>
        </is>
      </c>
      <c r="B3" s="2" t="inlineStr">
        <is>
          <t>泉州市</t>
        </is>
      </c>
      <c r="C3" s="2" t="inlineStr">
        <is>
          <t>南安市</t>
        </is>
      </c>
      <c r="D3" s="2" t="inlineStr">
        <is>
          <t>美林办事处南安大道碧桂园峰景一街3座27层2701室的房产</t>
        </is>
      </c>
      <c r="E3" s="2" t="inlineStr">
        <is>
          <t>碧桂园峰景</t>
        </is>
      </c>
      <c r="F3" s="2" t="inlineStr">
        <is>
          <t>住宅</t>
        </is>
      </c>
      <c r="G3" s="2" t="inlineStr">
        <is>
          <t>京东拍卖</t>
        </is>
      </c>
      <c r="H3" s="2" t="inlineStr">
        <is>
          <t>二拍</t>
        </is>
      </c>
      <c r="I3" s="12" t="n">
        <v>46262.41666666666</v>
      </c>
      <c r="J3" s="2" t="inlineStr">
        <is>
          <t>否</t>
        </is>
      </c>
      <c r="K3" s="2" t="inlineStr">
        <is>
          <t>南安市人民法院</t>
        </is>
      </c>
      <c r="L3" s="4" t="n">
        <v>174.02</v>
      </c>
      <c r="M3" s="5">
        <f>IF(AND(ISNUMBER(N3),ISNUMBER(L3),L3&gt;0),ROUND(N3/L3,2),"")</f>
        <v/>
      </c>
      <c r="N3" s="6" t="n">
        <v>535982</v>
      </c>
      <c r="O3" s="13" t="n">
        <v>95.711</v>
      </c>
      <c r="P3" s="8">
        <f>IF(AND(ISNUMBER(N3),ISNUMBER(O3),O3&gt;0),N3/(O3*10000),"")</f>
        <v/>
      </c>
      <c r="Q3" s="6" t="n">
        <v>0</v>
      </c>
      <c r="R3" s="6" t="n">
        <v>0</v>
      </c>
      <c r="S3" s="9" t="inlineStr"/>
      <c r="T3" s="9" t="inlineStr">
        <is>
          <t>https://paimai.jd.com/311080429</t>
        </is>
      </c>
    </row>
    <row r="4">
      <c r="A4" s="2" t="inlineStr">
        <is>
          <t>福建省</t>
        </is>
      </c>
      <c r="B4" s="2" t="inlineStr">
        <is>
          <t>泉州市</t>
        </is>
      </c>
      <c r="C4" s="2" t="inlineStr">
        <is>
          <t>南安市</t>
        </is>
      </c>
      <c r="D4" s="2" t="inlineStr">
        <is>
          <t>柳城街道柳东社区景观路288号龙润湾美5号楼6-7层6-703室的房产</t>
        </is>
      </c>
      <c r="E4" s="2" t="inlineStr">
        <is>
          <t>龙润湾美</t>
        </is>
      </c>
      <c r="F4" s="2" t="inlineStr">
        <is>
          <t>住宅</t>
        </is>
      </c>
      <c r="G4" s="2" t="inlineStr">
        <is>
          <t>京东拍卖</t>
        </is>
      </c>
      <c r="H4" s="2" t="inlineStr">
        <is>
          <t>二拍</t>
        </is>
      </c>
      <c r="I4" s="12" t="n">
        <v>46262.41666666666</v>
      </c>
      <c r="J4" s="2" t="inlineStr">
        <is>
          <t>否</t>
        </is>
      </c>
      <c r="K4" s="2" t="inlineStr">
        <is>
          <t>南安市人民法院</t>
        </is>
      </c>
      <c r="L4" s="4" t="n">
        <v>129.73</v>
      </c>
      <c r="M4" s="5">
        <f>IF(AND(ISNUMBER(N4),ISNUMBER(L4),L4&gt;0),ROUND(N4/L4,2),"")</f>
        <v/>
      </c>
      <c r="N4" s="6" t="n">
        <v>421364</v>
      </c>
      <c r="O4" s="13" t="n">
        <v>75.24339999999999</v>
      </c>
      <c r="P4" s="8">
        <f>IF(AND(ISNUMBER(N4),ISNUMBER(O4),O4&gt;0),N4/(O4*10000),"")</f>
        <v/>
      </c>
      <c r="Q4" s="6" t="n">
        <v>0</v>
      </c>
      <c r="R4" s="6" t="n">
        <v>0</v>
      </c>
      <c r="S4" s="9" t="inlineStr"/>
      <c r="T4" s="9" t="inlineStr">
        <is>
          <t>https://paimai.jd.com/311080448</t>
        </is>
      </c>
    </row>
    <row r="5">
      <c r="A5" s="2" t="inlineStr">
        <is>
          <t>福建省</t>
        </is>
      </c>
      <c r="B5" s="2" t="inlineStr">
        <is>
          <t>泉州市</t>
        </is>
      </c>
      <c r="C5" s="2" t="inlineStr">
        <is>
          <t>南安市</t>
        </is>
      </c>
      <c r="D5" s="2" t="inlineStr">
        <is>
          <t>柳城办事处外二环路柳湖花园小区1幢501</t>
        </is>
      </c>
      <c r="E5" s="2" t="inlineStr">
        <is>
          <t>柳湖花园小区</t>
        </is>
      </c>
      <c r="F5" s="2" t="inlineStr">
        <is>
          <t>住宅</t>
        </is>
      </c>
      <c r="G5" s="2" t="inlineStr">
        <is>
          <t>京东拍卖</t>
        </is>
      </c>
      <c r="H5" s="2" t="inlineStr">
        <is>
          <t>二拍</t>
        </is>
      </c>
      <c r="I5" s="12" t="n">
        <v>46262.41666666666</v>
      </c>
      <c r="J5" s="2" t="inlineStr">
        <is>
          <t>否</t>
        </is>
      </c>
      <c r="K5" s="2" t="inlineStr">
        <is>
          <t>福建省泉州市中级人民法院</t>
        </is>
      </c>
      <c r="L5" s="4" t="n">
        <v>150.31</v>
      </c>
      <c r="M5" s="5">
        <f>IF(AND(ISNUMBER(N5),ISNUMBER(L5),L5&gt;0),ROUND(N5/L5,2),"")</f>
        <v/>
      </c>
      <c r="N5" s="6" t="n">
        <v>360000</v>
      </c>
      <c r="O5" s="13" t="n">
        <v>64.05459999999999</v>
      </c>
      <c r="P5" s="8">
        <f>IF(AND(ISNUMBER(N5),ISNUMBER(O5),O5&gt;0),N5/(O5*10000),"")</f>
        <v/>
      </c>
      <c r="Q5" s="6" t="n">
        <v>0</v>
      </c>
      <c r="R5" s="6" t="n">
        <v>0</v>
      </c>
      <c r="S5" s="9" t="inlineStr"/>
      <c r="T5" s="9" t="inlineStr">
        <is>
          <t>https://paimai.jd.com/311089804</t>
        </is>
      </c>
    </row>
    <row r="6">
      <c r="A6" s="2" t="inlineStr">
        <is>
          <t>福建省</t>
        </is>
      </c>
      <c r="B6" s="2" t="inlineStr">
        <is>
          <t>泉州市</t>
        </is>
      </c>
      <c r="C6" s="2" t="inlineStr">
        <is>
          <t>石狮市</t>
        </is>
      </c>
      <c r="D6" s="2" t="inlineStr">
        <is>
          <t>石龙路288号世茂摩天城一期B89幢02室不动产</t>
        </is>
      </c>
      <c r="E6" s="2" t="inlineStr">
        <is>
          <t>世茂摩天城</t>
        </is>
      </c>
      <c r="F6" s="2" t="inlineStr">
        <is>
          <t>住宅</t>
        </is>
      </c>
      <c r="G6" s="2" t="inlineStr">
        <is>
          <t>京东拍卖</t>
        </is>
      </c>
      <c r="H6" s="2" t="inlineStr">
        <is>
          <t>一拍</t>
        </is>
      </c>
      <c r="I6" s="12" t="n">
        <v>46262.41666666666</v>
      </c>
      <c r="J6" s="2" t="inlineStr">
        <is>
          <t>否</t>
        </is>
      </c>
      <c r="K6" s="2" t="inlineStr">
        <is>
          <t>江苏省南京市中级人民法院</t>
        </is>
      </c>
      <c r="L6" s="4" t="n">
        <v>462.93</v>
      </c>
      <c r="M6" s="5">
        <f>IF(AND(ISNUMBER(N6),ISNUMBER(L6),L6&gt;0),ROUND(N6/L6,2),"")</f>
        <v/>
      </c>
      <c r="N6" s="6" t="n">
        <v>3696800</v>
      </c>
      <c r="O6" s="13" t="n">
        <v>528.11</v>
      </c>
      <c r="P6" s="8">
        <f>IF(AND(ISNUMBER(N6),ISNUMBER(O6),O6&gt;0),N6/(O6*10000),"")</f>
        <v/>
      </c>
      <c r="Q6" s="6" t="n">
        <v>0</v>
      </c>
      <c r="R6" s="6" t="n">
        <v>0</v>
      </c>
      <c r="S6" s="9" t="inlineStr"/>
      <c r="T6" s="9" t="inlineStr">
        <is>
          <t>https://paimai.jd.com/311017677</t>
        </is>
      </c>
    </row>
    <row r="7">
      <c r="A7" s="2" t="inlineStr">
        <is>
          <t>福建省</t>
        </is>
      </c>
      <c r="B7" s="2" t="inlineStr">
        <is>
          <t>泉州市</t>
        </is>
      </c>
      <c r="C7" s="2" t="inlineStr">
        <is>
          <t>石狮市</t>
        </is>
      </c>
      <c r="D7" s="2" t="inlineStr">
        <is>
          <t>石龙路288号世茂摩天城I-A-32幢01单元、02单元不动产</t>
        </is>
      </c>
      <c r="E7" s="2" t="inlineStr">
        <is>
          <t>世茂摩天城</t>
        </is>
      </c>
      <c r="F7" s="2" t="inlineStr">
        <is>
          <t>住宅</t>
        </is>
      </c>
      <c r="G7" s="2" t="inlineStr">
        <is>
          <t>京东拍卖</t>
        </is>
      </c>
      <c r="H7" s="2" t="inlineStr">
        <is>
          <t>一拍</t>
        </is>
      </c>
      <c r="I7" s="12" t="n">
        <v>46262.41666666666</v>
      </c>
      <c r="J7" s="2" t="inlineStr">
        <is>
          <t>否</t>
        </is>
      </c>
      <c r="K7" s="2" t="inlineStr">
        <is>
          <t>江苏省南京市中级人民法院</t>
        </is>
      </c>
      <c r="L7" s="4" t="n">
        <v>1018.72</v>
      </c>
      <c r="M7" s="5">
        <f>IF(AND(ISNUMBER(N7),ISNUMBER(L7),L7&gt;0),ROUND(N7/L7,2),"")</f>
        <v/>
      </c>
      <c r="N7" s="6" t="n">
        <v>8754000</v>
      </c>
      <c r="O7" s="13" t="n">
        <v>1250.48</v>
      </c>
      <c r="P7" s="8">
        <f>IF(AND(ISNUMBER(N7),ISNUMBER(O7),O7&gt;0),N7/(O7*10000),"")</f>
        <v/>
      </c>
      <c r="Q7" s="6" t="n">
        <v>0</v>
      </c>
      <c r="R7" s="6" t="n">
        <v>1</v>
      </c>
      <c r="S7" s="2" t="inlineStr">
        <is>
          <t>71.66/947.06共1018.72㎡，人工需复核</t>
        </is>
      </c>
      <c r="T7" s="9" t="inlineStr">
        <is>
          <t>https://paimai.jd.com/311017679</t>
        </is>
      </c>
    </row>
    <row r="8">
      <c r="A8" s="2" t="inlineStr">
        <is>
          <t>福建省</t>
        </is>
      </c>
      <c r="B8" s="2" t="inlineStr">
        <is>
          <t>泉州市</t>
        </is>
      </c>
      <c r="C8" s="2" t="inlineStr">
        <is>
          <t>石狮市</t>
        </is>
      </c>
      <c r="D8" s="2" t="inlineStr">
        <is>
          <t>石龙路288号世茂摩天城一期A17幢01室、02室不动产</t>
        </is>
      </c>
      <c r="E8" s="2" t="inlineStr">
        <is>
          <t>世茂摩天城</t>
        </is>
      </c>
      <c r="F8" s="2" t="inlineStr">
        <is>
          <t>住宅</t>
        </is>
      </c>
      <c r="G8" s="2" t="inlineStr">
        <is>
          <t>京东拍卖</t>
        </is>
      </c>
      <c r="H8" s="2" t="inlineStr">
        <is>
          <t>一拍</t>
        </is>
      </c>
      <c r="I8" s="12" t="n">
        <v>46262.41666666666</v>
      </c>
      <c r="J8" s="2" t="inlineStr">
        <is>
          <t>否</t>
        </is>
      </c>
      <c r="K8" s="2" t="inlineStr">
        <is>
          <t>江苏省南京市中级人民法院</t>
        </is>
      </c>
      <c r="L8" s="4" t="n">
        <v>978.4400000000001</v>
      </c>
      <c r="M8" s="5">
        <f>IF(AND(ISNUMBER(N8),ISNUMBER(L8),L8&gt;0),ROUND(N8/L8,2),"")</f>
        <v/>
      </c>
      <c r="N8" s="6" t="n">
        <v>8578500</v>
      </c>
      <c r="O8" s="13" t="n">
        <v>1225.5</v>
      </c>
      <c r="P8" s="8">
        <f>IF(AND(ISNUMBER(N8),ISNUMBER(O8),O8&gt;0),N8/(O8*10000),"")</f>
        <v/>
      </c>
      <c r="Q8" s="6" t="n">
        <v>0</v>
      </c>
      <c r="R8" s="6" t="n">
        <v>1</v>
      </c>
      <c r="S8" s="2" t="inlineStr">
        <is>
          <t>72.55/905.89共978.44㎡，人工需复核</t>
        </is>
      </c>
      <c r="T8" s="9" t="inlineStr">
        <is>
          <t>https://paimai.jd.com/311017736</t>
        </is>
      </c>
    </row>
  </sheetData>
  <autoFilter ref="A1:T8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fujian-auctions</dc:creator>
  <dcterms:created xmlns:dcterms="http://purl.org/dc/terms/" xmlns:xsi="http://www.w3.org/2001/XMLSchema-instance" xsi:type="dcterms:W3CDTF">2026-08-28T08:13:00Z</dcterms:created>
  <dcterms:modified xmlns:dcterms="http://purl.org/dc/terms/" xmlns:xsi="http://www.w3.org/2001/XMLSchema-instance" xsi:type="dcterms:W3CDTF">2026-08-28T12:32:19Z</dcterms:modified>
  <cp:lastModifiedBy>绿谷.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7C7FFC2F4A8C46EE8E2EAF5DEAB22086_12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