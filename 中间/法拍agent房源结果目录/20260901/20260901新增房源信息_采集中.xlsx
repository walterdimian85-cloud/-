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<sst xmlns="http://schemas.openxmlformats.org/spreadsheetml/2006/main" count="1335" uniqueCount="373">
  <si>
    <t>进度项目</t>
  </si>
  <si>
    <t>当前状态</t>
  </si>
  <si>
    <t>运行状态</t>
  </si>
  <si>
    <t>已完成</t>
  </si>
  <si>
    <t>已保存记录</t>
  </si>
  <si>
    <t>失败记录</t>
  </si>
  <si>
    <t>当前平台</t>
  </si>
  <si>
    <t/>
  </si>
  <si>
    <t>当前分类</t>
  </si>
  <si>
    <t>当前标的</t>
  </si>
  <si>
    <t>全部采集、检查和排序完成</t>
  </si>
  <si>
    <t>当前链接</t>
  </si>
  <si>
    <t>最近保存</t>
  </si>
  <si>
    <t>2026-09-01T03:10:19.680Z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</si>
  <si>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</si>
  <si>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</si>
  <si>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</si>
  <si>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</si>
  <si>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</si>
  <si>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</si>
  <si>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</si>
  <si>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</si>
  <si>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</si>
  <si>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</si>
  <si>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</si>
  <si>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</si>
  <si>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</si>
  <si>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</si>
  <si>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</si>
  <si>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</si>
  <si>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</si>
  <si>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</si>
  <si>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</si>
  <si>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</si>
  <si>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福建省</t>
  </si>
  <si>
    <t>泉州市</t>
  </si>
  <si>
    <t>石狮市</t>
  </si>
  <si>
    <t>石龙路288号世茂摩天城一期B89幢02室不动产</t>
  </si>
  <si>
    <t>世茂摩天城</t>
  </si>
  <si>
    <t>住宅</t>
  </si>
  <si>
    <t>京东拍卖</t>
  </si>
  <si>
    <t>二拍</t>
  </si>
  <si>
    <t>即将开始</t>
  </si>
  <si>
    <t>江苏省南京市中级人民法院</t>
  </si>
  <si>
    <t>https://paimai.jd.com/311192865</t>
  </si>
  <si>
    <t>石龙路288号世茂摩天城I-A-32幢01单元、02单元不动产</t>
  </si>
  <si>
    <t>未找到</t>
  </si>
  <si>
    <t>71.66/947.06共1018.72㎡，人工需复核</t>
  </si>
  <si>
    <t>https://paimai.jd.com/311192862</t>
  </si>
  <si>
    <t>石龙路288号世茂摩天城一期A17幢01室、02室不动产</t>
  </si>
  <si>
    <t>72.55/905.89共978.44㎡，人工需复核</t>
  </si>
  <si>
    <t>https://paimai.jd.com/311192659</t>
  </si>
  <si>
    <t>晋江市</t>
  </si>
  <si>
    <t>青阳街道泉安中路717号百宏·华尔街2号楼1410室</t>
  </si>
  <si>
    <t>商住小区</t>
  </si>
  <si>
    <t>一拍</t>
  </si>
  <si>
    <t>泉州市泉港区人民法院</t>
  </si>
  <si>
    <t>https://paimai.jd.com/311192219</t>
  </si>
  <si>
    <t>南安市</t>
  </si>
  <si>
    <t>溪美办事处新华南路泛华•日昇新城7号楼27、28层27-2803室的房产</t>
  </si>
  <si>
    <t>日昇新城</t>
  </si>
  <si>
    <t>南安市人民法院</t>
  </si>
  <si>
    <t>https://paimai.jd.com/311191597</t>
  </si>
  <si>
    <t>柳城街道成功街1170号福新花苑A幢3-4层307室、B幢架空层66号储藏间的房产</t>
  </si>
  <si>
    <t>福新花苑</t>
  </si>
  <si>
    <t>https://paimai.jd.com/311191306</t>
  </si>
  <si>
    <t>柳城街道柳东社区景观路288号龙润湾美7号楼4-502室</t>
  </si>
  <si>
    <t>龙润湾美</t>
  </si>
  <si>
    <t>变卖</t>
  </si>
  <si>
    <t>泉州市丰泽区人民法院</t>
  </si>
  <si>
    <t>https://paimai.jd.com/311191296</t>
  </si>
  <si>
    <t>泉安北路1108号万科金域滨江一期爱乐佳园2幢910</t>
  </si>
  <si>
    <t>万科金域滨江一期爱乐佳园</t>
  </si>
  <si>
    <t>https://paimai.jd.com/311191268</t>
  </si>
  <si>
    <t>霞美镇四黄村四季康城4号楼801室</t>
  </si>
  <si>
    <t>四季康城</t>
  </si>
  <si>
    <t>https://paimai.jd.com/311191208</t>
  </si>
  <si>
    <t>丰泽区</t>
  </si>
  <si>
    <t>田安路309号新联大厦1104室</t>
  </si>
  <si>
    <t>新联大厦</t>
  </si>
  <si>
    <t>https://paimai.jd.com/311191190</t>
  </si>
  <si>
    <t>福州市</t>
  </si>
  <si>
    <t>仓山区</t>
  </si>
  <si>
    <t>金山街道浦上大道418号金山生活区八期南片（红树林二期暨泰禾·红峪）A-17#楼205单元、206单元房产</t>
  </si>
  <si>
    <t>阿里资产</t>
  </si>
  <si>
    <t>福州市台江区人民法院</t>
  </si>
  <si>
    <t>未找到评估报告</t>
  </si>
  <si>
    <t>https://sf-item.taobao.com/sf_item/1078095703082.htm</t>
  </si>
  <si>
    <t>闽清县</t>
  </si>
  <si>
    <t>闽江大道1号闽清理想湾11#楼412单元</t>
  </si>
  <si>
    <t>闽清理想湾</t>
  </si>
  <si>
    <t>闽清县人民法院</t>
  </si>
  <si>
    <t>https://sf-item.taobao.com/sf_item/1078946802526.htm</t>
  </si>
  <si>
    <t>长乐区</t>
  </si>
  <si>
    <t>航城街道江莲路7号乐信花园A4-6#楼1003单元</t>
  </si>
  <si>
    <t>乐信花园</t>
  </si>
  <si>
    <t>福州市长乐区人民法院</t>
  </si>
  <si>
    <t>https://sf-item.taobao.com/sf_item/1079996065801.htm</t>
  </si>
  <si>
    <t>首占镇会堂南路89号长乐名城7#楼3303单元及地下室804车位</t>
  </si>
  <si>
    <t>长乐名城</t>
  </si>
  <si>
    <t>车位</t>
  </si>
  <si>
    <t>https://sf-item.taobao.com/sf_item/1080993292510.htm</t>
  </si>
  <si>
    <t>罗源县</t>
  </si>
  <si>
    <t>凤山镇凤南东路179号盛世名城小区3#楼2303单元</t>
  </si>
  <si>
    <t>盛世名城</t>
  </si>
  <si>
    <t>罗源县人民法院</t>
  </si>
  <si>
    <t>户型：4室2厅</t>
  </si>
  <si>
    <t>https://sf-item.taobao.com/sf_item/1079848701448.htm</t>
  </si>
  <si>
    <t>凤山镇罗川中路18号泰康佳园住宅区4#楼901单元</t>
  </si>
  <si>
    <t>泰康佳园</t>
  </si>
  <si>
    <t>户型：3室2厅</t>
  </si>
  <si>
    <t>https://sf-item.taobao.com/sf_item/1078798874539.htm</t>
  </si>
  <si>
    <t>平潭县</t>
  </si>
  <si>
    <t>潭城镇东湖庄301号西航海滨城二期CD区D1#楼1705室</t>
  </si>
  <si>
    <t>西航海滨城</t>
  </si>
  <si>
    <t>平潭县人民法院</t>
  </si>
  <si>
    <t>https://sf-item.taobao.com/sf_item/1080845184444.htm</t>
  </si>
  <si>
    <t>漳港街道锦绣路89号永亨·海港城B区B10#楼203单元</t>
  </si>
  <si>
    <t>永亨·海港城</t>
  </si>
  <si>
    <t>https://sf-item.taobao.com/sf_item/1078788374508.htm</t>
  </si>
  <si>
    <t>鼓楼区</t>
  </si>
  <si>
    <t>水部街道古田路能源巷1-1号佳盛广场A座31C单元</t>
  </si>
  <si>
    <t>佳盛广场</t>
  </si>
  <si>
    <t>福州市晋安区人民法院</t>
  </si>
  <si>
    <t>户型：3室1厅</t>
  </si>
  <si>
    <t>https://sf-item.taobao.com/sf_item/1080837548635.htm</t>
  </si>
  <si>
    <t>永春县</t>
  </si>
  <si>
    <t>址在永春县五里街镇桃源北路二期安置房6-储24的储藏间</t>
  </si>
  <si>
    <t>址在永春县五里</t>
  </si>
  <si>
    <t>永春县人民法院</t>
  </si>
  <si>
    <t>需打开网页评估报告提取面积</t>
  </si>
  <si>
    <t>https://sf-item.taobao.com/sf_item/1080023181933.htm</t>
  </si>
  <si>
    <t>刺桐路淮云新城B8号住宅</t>
  </si>
  <si>
    <t>淮云新城</t>
  </si>
  <si>
    <t>福建省泉州市中级人民法院</t>
  </si>
  <si>
    <t>https://sf-item.taobao.com/sf_item/1078974430142.htm</t>
  </si>
  <si>
    <t>址在永春县五里街镇桃源北路二期安置房6-储37的储藏间</t>
  </si>
  <si>
    <t>https://sf-item.taobao.com/sf_item/1080022225654.htm</t>
  </si>
  <si>
    <t>址在永春县五里街镇桃源北路二期安置房6-储42的储藏间</t>
  </si>
  <si>
    <t>https://sf-item.taobao.com/sf_item/1081028348759.htm</t>
  </si>
  <si>
    <t>址在永春县五里街镇桃源北路二期安置房6-储38的储藏间</t>
  </si>
  <si>
    <t>https://sf-item.taobao.com/sf_item/1080022281407.htm</t>
  </si>
  <si>
    <t>址在永春县五里街镇桃源北路二期安置房6-储41的储藏间</t>
  </si>
  <si>
    <t>https://sf-item.taobao.com/sf_item/1080021809896.htm</t>
  </si>
  <si>
    <t>世纪大道南段2361号紫林华苑9幢503住宅</t>
  </si>
  <si>
    <t>紫林华苑</t>
  </si>
  <si>
    <t>晋江市人民法院</t>
  </si>
  <si>
    <t>https://sf-item.taobao.com/sf_item/1078972354857.htm</t>
  </si>
  <si>
    <t>址在永春县五里街镇桃源北路二期安置房6-储40的储藏间</t>
  </si>
  <si>
    <t>https://sf-item.taobao.com/sf_item/1078971490292.htm</t>
  </si>
  <si>
    <t>梅岭街道许厝社区联昌·凯旋国际1幢2202住宅及室内部分家具家电</t>
  </si>
  <si>
    <t>联昌·凯旋国际</t>
  </si>
  <si>
    <t>泉州市鲤城区人民法院</t>
  </si>
  <si>
    <t>https://sf-item.taobao.com/sf_item/1078096111359.htm</t>
  </si>
  <si>
    <t>址在永春县五里街镇桃源北路二期安置房6-储12的储藏间</t>
  </si>
  <si>
    <t>https://sf-item.taobao.com/sf_item/1081018036103.htm</t>
  </si>
  <si>
    <t>温陵路北拓改造工程2幢608住宅及室内部分家具家电</t>
  </si>
  <si>
    <t>https://sf-item.taobao.com/sf_item/1081017052968.htm</t>
  </si>
  <si>
    <t>址在永春县五里街镇桃源北路二期安置房6-储21的储藏间</t>
  </si>
  <si>
    <t>https://sf-item.taobao.com/sf_item/1080011153389.htm</t>
  </si>
  <si>
    <t>址在永春县五里街镇桃源北路二期安置房6-储23的储藏间</t>
  </si>
  <si>
    <t>https://sf-item.taobao.com/sf_item/1078095235045.htm</t>
  </si>
  <si>
    <t>址在永春县五里街镇桃源北路二期安置房6-储15的储藏间</t>
  </si>
  <si>
    <t>https://sf-item.taobao.com/sf_item/1081016444879.htm</t>
  </si>
  <si>
    <t>址在永春县五里街镇桃源北路二期安置房6-储10的储藏间</t>
  </si>
  <si>
    <t>https://sf-item.taobao.com/sf_item/1078961034210.htm</t>
  </si>
  <si>
    <t>址在永春县五里街镇桃源北路二期安置房6-储17的储藏间</t>
  </si>
  <si>
    <t>https://sf-item.taobao.com/sf_item/1078960750614.htm</t>
  </si>
  <si>
    <t>福田路118号东霞新村29幢701储藏间的不动产</t>
  </si>
  <si>
    <t>东霞新村</t>
  </si>
  <si>
    <t>https://sf-item.taobao.com/sf_item/1078960782342.htm</t>
  </si>
  <si>
    <t>址在永春县五里街镇桃源北路二期安置房6-储13的储藏间</t>
  </si>
  <si>
    <t>https://sf-item.taobao.com/sf_item/1078093399374.htm</t>
  </si>
  <si>
    <t>址在永春县五里街镇桃源北路二期安置房6-储11的储藏间</t>
  </si>
  <si>
    <t>https://sf-item.taobao.com/sf_item/1080009265055.htm</t>
  </si>
  <si>
    <t>址在永春县五里街镇桃源北路二期安置房6-储09的储藏间</t>
  </si>
  <si>
    <t>https://sf-item.taobao.com/sf_item/1078081335256.htm</t>
  </si>
  <si>
    <t>址在永春县五里街镇桃源北路二期安置房6-储03的储藏间</t>
  </si>
  <si>
    <t>https://sf-item.taobao.com/sf_item/1078820894767.htm</t>
  </si>
  <si>
    <t>址在永春县五里街镇桃源北路二期安置房6-储07的储藏间</t>
  </si>
  <si>
    <t>https://sf-item.taobao.com/sf_item/1080876468190.htm</t>
  </si>
  <si>
    <t>址在永春县五里街镇桃源北路二期安置房6-储08的储藏间</t>
  </si>
  <si>
    <t>https://sf-item.taobao.com/sf_item/1078821226414.htm</t>
  </si>
  <si>
    <t>址在永春县五里街镇桃源北路二期安置房6-储04的储藏间</t>
  </si>
  <si>
    <t>https://sf-item.taobao.com/sf_item/1080875984989.htm</t>
  </si>
  <si>
    <t>址在永春县五里街镇桃源北路二期安置房6-储06的储藏间</t>
  </si>
  <si>
    <t>https://sf-item.taobao.com/sf_item/1080876092851.htm</t>
  </si>
  <si>
    <t>址在永春县五里街镇桃源北路二期安置房6-储05的储藏间</t>
  </si>
  <si>
    <t>https://sf-item.taobao.com/sf_item/1080876152736.htm</t>
  </si>
  <si>
    <t>址在永春县五里街镇桃源北路二期安置房6-储02的储藏间</t>
  </si>
  <si>
    <t>https://sf-item.taobao.com/sf_item/1077949787130.htm</t>
  </si>
  <si>
    <t>泉港区</t>
  </si>
  <si>
    <t>逸涛商住小区8#103住宅</t>
  </si>
  <si>
    <t>逸涛商住小区</t>
  </si>
  <si>
    <t>https://sf-item.taobao.com/sf_item/1078810346001.htm</t>
  </si>
  <si>
    <t>驿峰路蓝海国际18号楼304室</t>
  </si>
  <si>
    <t>蓝海国际</t>
  </si>
  <si>
    <t>https://sf-item.taobao.com/sf_item/1080844940037.htm</t>
  </si>
  <si>
    <t>鲤城区</t>
  </si>
  <si>
    <t>浮桥街道田中社区江滨南路南侧珑璟湾一期工程21号楼1202</t>
  </si>
  <si>
    <t>珑璟湾</t>
  </si>
  <si>
    <t>https://sf-item.taobao.com/sf_item/1079826633920.htm</t>
  </si>
  <si>
    <t>兴贤路中段宏基丽景花苑A幢312</t>
  </si>
  <si>
    <t>宏基丽景花苑</t>
  </si>
  <si>
    <t>https://sf-item.taobao.com/sf_item/1080832552877.htm</t>
  </si>
  <si>
    <t>洛江区</t>
  </si>
  <si>
    <t>阳光南路9号阳光花园城18幢108室房产</t>
  </si>
  <si>
    <t>阳光花园城</t>
  </si>
  <si>
    <t>https://sf-item.taobao.com/sf_item/1079826353737.htm</t>
  </si>
  <si>
    <t>成交金额</t>
  </si>
  <si>
    <t>溢价率</t>
  </si>
  <si>
    <t>成交单价</t>
  </si>
  <si>
    <t>竞买记录</t>
  </si>
  <si>
    <t>报名人数</t>
  </si>
  <si>
    <t>竹屿湖中路16号长福麒麟海湾三期7#楼4005室</t>
  </si>
  <si>
    <t>长福麒麟海湾</t>
  </si>
  <si>
    <t>是</t>
  </si>
  <si>
    <t>https://paimai.jd.com/311023125</t>
  </si>
  <si>
    <t>梅岭街道迎宾路555号中航城·天骏2幢B-3206室及地下室车位A327</t>
  </si>
  <si>
    <t>中航城·天骏</t>
  </si>
  <si>
    <t>https://paimai.jd.com/311109381</t>
  </si>
  <si>
    <t>南屿镇乌龙江南大道89号顺华世纪鸥洲B区地下室（1#-4#楼连接体）地下1层656车位</t>
  </si>
  <si>
    <t>https://sf-item.taobao.com/sf_item/1075184289532.htm</t>
  </si>
  <si>
    <t>晋安区</t>
  </si>
  <si>
    <t>岳峰镇岳峰横路18号佳馨苑2#楼502单元</t>
  </si>
  <si>
    <t>佳馨苑</t>
  </si>
  <si>
    <t>https://sf-item.taobao.com/sf_item/1070164258505.htm</t>
  </si>
  <si>
    <t>福清市</t>
  </si>
  <si>
    <t>龙江街道小南洋村、宏路街道溪下村诺希科技园B地块13号楼2002单元及地下室地下2层037车位</t>
  </si>
  <si>
    <t>诺希央墅</t>
  </si>
  <si>
    <t>福清市人民法院</t>
  </si>
  <si>
    <t>https://sf-item.taobao.com/sf_item/1072327343924.htm</t>
  </si>
  <si>
    <t>北厝镇如意纵一路1号平潭海峡如意城G008地块一期B13#楼105室</t>
  </si>
  <si>
    <t>平潭海峡如意城</t>
  </si>
  <si>
    <t>https://sf-item.taobao.com/sf_item/1074156106888.htm</t>
  </si>
  <si>
    <t>闽侯县</t>
  </si>
  <si>
    <t>南屿镇乌龙江南大道83号碧桂园铂悦公馆7#楼907单元房产</t>
  </si>
  <si>
    <t>碧桂园铂悦公馆</t>
  </si>
  <si>
    <t>闽侯县人民法院</t>
  </si>
  <si>
    <t>https://sf-item.taobao.com/sf_item/1069190967468.htm</t>
  </si>
  <si>
    <t>吴航街道西洋北路199号蔚蓝国际-滨江望郡5幢705单元（含室内动产）</t>
  </si>
  <si>
    <t>蔚蓝国际-滨江望郡</t>
  </si>
  <si>
    <t>三明市三元区人民法院</t>
  </si>
  <si>
    <t>https://sf-item.taobao.com/sf_item/1069425131998.htm</t>
  </si>
  <si>
    <t>金山街道闽江大道228号金汇豪庭1#楼904单元（不包括室内可移动的设施、设备及家具）</t>
  </si>
  <si>
    <t>金汇豪庭</t>
  </si>
  <si>
    <t>温州市龙湾区人民法院</t>
  </si>
  <si>
    <t>https://sf-item.taobao.com/sf_item/1070027146389.htm</t>
  </si>
  <si>
    <t>池店镇华洲村华东路87号百捷·中央领地1幢1905住宅</t>
  </si>
  <si>
    <t>百捷·中央领地</t>
  </si>
  <si>
    <t>https://sf-item.taobao.com/sf_item/1071912312951.htm</t>
  </si>
  <si>
    <t>青阳街道世纪大道518号宝龙广场国际公馆5幢904室住宅 精选资产</t>
  </si>
  <si>
    <t>宝龙广场国际公馆</t>
  </si>
  <si>
    <t>户型：1室1厅</t>
  </si>
  <si>
    <t>https://sf-item.taobao.com/sf_item/1073281031293.htm</t>
  </si>
  <si>
    <t>新塘街道经济开发区新塘园正荣一号院二期13幢1206室住宅</t>
  </si>
  <si>
    <t>晋江·正荣府</t>
  </si>
  <si>
    <t>https://sf-item.taobao.com/sf_item/1075151833036.htm</t>
  </si>
  <si>
    <t>驿峰中路北侧华泉盛世豪庭1#楼1204</t>
  </si>
  <si>
    <t>华泉·盛世豪庭</t>
  </si>
  <si>
    <t>https://sf-item.taobao.com/sf_item/1072286888050.htm</t>
  </si>
  <si>
    <t>泉秀街181号恒祥大厦1405室房产</t>
  </si>
  <si>
    <t>恒祥大厦</t>
  </si>
  <si>
    <t>否</t>
  </si>
  <si>
    <t>https://paimai.jd.com/310836078</t>
  </si>
  <si>
    <t>江滨路与堤后路北侧滨江花园城B组团6幢302</t>
  </si>
  <si>
    <t>滨江花园城</t>
  </si>
  <si>
    <t>https://paimai.jd.com/311109363</t>
  </si>
  <si>
    <t>罗山福埔综合开发区兰峰城市花园31幢3A室房产</t>
  </si>
  <si>
    <t>兰峰城市花园</t>
  </si>
  <si>
    <t>https://paimai.jd.com/311036974</t>
  </si>
  <si>
    <t>泉秀街181号恒祥大厦1407室房产</t>
  </si>
  <si>
    <t>https://paimai.jd.com/310836342</t>
  </si>
  <si>
    <t>泉秀街181号恒祥大厦1409室房产</t>
  </si>
  <si>
    <t>https://paimai.jd.com/310836343</t>
  </si>
  <si>
    <t>泉秀街181号恒祥大厦1408室房产</t>
  </si>
  <si>
    <t>https://paimai.jd.com/310836308</t>
  </si>
  <si>
    <t>城东街道庄任社区海城花苑3号楼803的房产</t>
  </si>
  <si>
    <t>海城花苑</t>
  </si>
  <si>
    <t>https://paimai.jd.com/310841299</t>
  </si>
  <si>
    <t>内坑镇福厦高铁晋江站综合经济区高卫·捷龙商业广场3幢3001室</t>
  </si>
  <si>
    <t>高卫·捷龙商业广场</t>
  </si>
  <si>
    <t>https://paimai.jd.com/311037280</t>
  </si>
  <si>
    <t>泉秀街181号恒祥大厦1401室房产</t>
  </si>
  <si>
    <t>https://paimai.jd.com/310836063</t>
  </si>
  <si>
    <t>溪美办事处柳溪巷电影公司集资房A幢6层601室的房产及室内物品、柴火房（1间）的不动产</t>
  </si>
  <si>
    <t>电影公司集资房</t>
  </si>
  <si>
    <t>主住宅：140.18㎡；附属间：25.08㎡。</t>
  </si>
  <si>
    <t>https://paimai.jd.com/311036976</t>
  </si>
  <si>
    <t>泉秀街181号恒祥大厦1403室房产</t>
  </si>
  <si>
    <t>https://paimai.jd.com/310836075</t>
  </si>
  <si>
    <t>城东街道庄任社区海城花苑3号楼804的房产</t>
  </si>
  <si>
    <t>https://paimai.jd.com/310841255</t>
  </si>
  <si>
    <t>泉秀街181号恒祥大厦1406室房产</t>
  </si>
  <si>
    <t>https://paimai.jd.com/310836334</t>
  </si>
  <si>
    <t>泉秀街181号恒祥大厦1402室房产</t>
  </si>
  <si>
    <t>https://paimai.jd.com/310835983</t>
  </si>
  <si>
    <t>连江县</t>
  </si>
  <si>
    <t>潘渡乡沿江大道1号贵安新天地写字楼1#1202单元房产</t>
  </si>
  <si>
    <t>贵安新天地</t>
  </si>
  <si>
    <t>连江县人民法院</t>
  </si>
  <si>
    <t>https://sf-item.taobao.com/sf_item/1057989771948.htm</t>
  </si>
  <si>
    <t>琯头镇粗芦岛龙沙村联合路135号丽水蓝湾小区2幢1902单元</t>
  </si>
  <si>
    <t>丽水蓝湾</t>
  </si>
  <si>
    <t>https://sf-item.taobao.com/sf_item/1060777740099.htm</t>
  </si>
  <si>
    <t>松山镇岐鹤路1号宝钢公寓住宅小区1#楼1004单元</t>
  </si>
  <si>
    <t>宝钢公寓</t>
  </si>
  <si>
    <t>户型：2室1厅</t>
  </si>
  <si>
    <t>https://sf-item.taobao.com/sf_item/1069208311616.htm</t>
  </si>
  <si>
    <t>松山镇岐鹤路1号宝钢公寓住宅小区12#楼904单元</t>
  </si>
  <si>
    <t>https://sf-item.taobao.com/sf_item/1070040246594.htm</t>
  </si>
  <si>
    <t>凤山镇嘉禾花园1#楼304单元及27号附属间</t>
  </si>
  <si>
    <t>嘉禾花园</t>
  </si>
  <si>
    <t>https://sf-item.taobao.com/sf_item/1070040334170.htm</t>
  </si>
  <si>
    <t>凤山镇罗川中路5号瑞都花园1#楼2305A、B单元的房产</t>
  </si>
  <si>
    <t>瑞都花园</t>
  </si>
  <si>
    <t>https://sf-item.taobao.com/sf_item/1070043042832.htm</t>
  </si>
  <si>
    <t>华大街道融侨路35号思儿亭小区8#楼7A单元的房屋及2层31附属间</t>
  </si>
  <si>
    <t>思儿亭小区</t>
  </si>
  <si>
    <t>主住宅：156.73㎡；附属间：6.46㎡。；户型：4室2厅</t>
  </si>
  <si>
    <t>https://sf-item.taobao.com/sf_item/1070173170480.htm</t>
  </si>
  <si>
    <t>新店镇西园村东浦电建路50号1层303#附属间、303单元</t>
  </si>
  <si>
    <t>电建路50号</t>
  </si>
  <si>
    <t>https://sf-item.taobao.com/sf_item/1070817665456.htm</t>
  </si>
  <si>
    <t>松山镇江滨北路13号邦盛蓝湾明珠花园18#楼1707单元</t>
  </si>
  <si>
    <t>邦盛蓝湾明珠花园</t>
  </si>
  <si>
    <t>https://sf-item.taobao.com/sf_item/1071066953337.htm</t>
  </si>
  <si>
    <t>祥谦镇奔驰大道59号隆恒凤港城15#楼1503单元房产</t>
  </si>
  <si>
    <t>隆恒凤港城</t>
  </si>
  <si>
    <t>户型：2室2厅</t>
  </si>
  <si>
    <t>https://sf-item.taobao.com/sf_item/1071202181368.htm</t>
  </si>
  <si>
    <t>音西街道音西村宏路街道石门村融侨城（三期）18号楼401单元</t>
  </si>
  <si>
    <t>融侨城（三期）</t>
  </si>
  <si>
    <t>https://sf-item.taobao.com/sf_item/1073293126890.htm</t>
  </si>
  <si>
    <t>宏路街道上郑村金辉华府17号楼801单元及金辉华府（一期）地下室地下2层0551车位</t>
  </si>
  <si>
    <t>金辉华府</t>
  </si>
  <si>
    <t>https://sf-item.taobao.com/sf_item/1074614041167.htm</t>
  </si>
  <si>
    <t>宏路镇棋山村15-260、15-261地号的不动产</t>
  </si>
  <si>
    <t>https://sf-item.taobao.com/sf_item/1075304416139.htm</t>
  </si>
  <si>
    <t>山腰金山商业街金14幢516-616复式住宅</t>
  </si>
  <si>
    <t>金山商业街</t>
  </si>
  <si>
    <t>https://sf-item.taobao.com/sf_item/1060113637513.htm</t>
  </si>
  <si>
    <t>石龙路288号世茂摩天城北5号楼1跃4层、石狮市石龙路288号世茂摩天城北5号楼地下一层不动产</t>
  </si>
  <si>
    <t>商业</t>
  </si>
  <si>
    <t>数据疑似有误：商业面积为16765.86㎡，超过10000㎡</t>
  </si>
  <si>
    <t>https://sf-item.taobao.com/sf_item/1069745926522.htm</t>
  </si>
  <si>
    <t>津淮改造工程F1幢726-826住宅及F1幢86B储藏间</t>
  </si>
  <si>
    <t>迎津新村</t>
  </si>
  <si>
    <t>https://sf-item.taobao.com/sf_item/1070173146683.htm</t>
  </si>
  <si>
    <t>南山南路西侧大德财富中心1307办公</t>
  </si>
  <si>
    <t>大德财富中心</t>
  </si>
  <si>
    <t>https://sf-item.taobao.com/sf_item/1070259262407.htm</t>
  </si>
  <si>
    <t>石龙路288号世茂摩天城梅森会所不动产</t>
  </si>
  <si>
    <t>https://sf-item.taobao.com/sf_item/1070776109214.htm</t>
  </si>
  <si>
    <t>宝岛东路88号龙湖春江郦城6号楼1802室</t>
  </si>
  <si>
    <t>龙湖春江郦城</t>
  </si>
  <si>
    <t>乐昌市人民法院</t>
  </si>
  <si>
    <t>https://sf-item.taobao.com/sf_item/1071188461425.htm</t>
  </si>
  <si>
    <t>元安北路258号2幢1梯402室</t>
  </si>
  <si>
    <t>元安北路258号</t>
  </si>
  <si>
    <t>https://sf-item.taobao.com/sf_item/1071199749321.htm</t>
  </si>
  <si>
    <t>驿峰路中心工业区段南侧德和花园2#201店面</t>
  </si>
  <si>
    <t>德和花园</t>
  </si>
  <si>
    <t>https://sf-item.taobao.com/sf_item/1071302849334.htm</t>
  </si>
  <si>
    <t>永泰县</t>
  </si>
  <si>
    <t>城峰镇汤洋村上山院7号不动产</t>
  </si>
  <si>
    <t>数据疑似有误：商业面积为94436.56㎡，超过10000㎡</t>
  </si>
  <si>
    <t>https://sf-item.taobao.com/sf_item/1071742800258.htm</t>
  </si>
  <si>
    <t>迎宾路532号浔兴·奥林春天1#-602住宅 精选资产</t>
  </si>
  <si>
    <t>浔兴·奥林春天</t>
  </si>
  <si>
    <t>https://sf-item.taobao.com/sf_item/1071923996289.htm</t>
  </si>
  <si>
    <t>内坑镇福厦高铁晋江站综合经济区高卫·捷龙商业广场1-3幢连接体店面41</t>
  </si>
  <si>
    <t>https://sf-item.taobao.com/sf_item/1073280059890.htm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</si>
</sst>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102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1</v>
      </c>
      <c r="B7" t="s">
        <v>7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  <row r="2" spans="1:18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3">
        <v>46282.41666666667</v>
      </c>
      <c r="J2" s="2" t="s">
        <v>42</v>
      </c>
      <c r="K2" s="2" t="s">
        <v>43</v>
      </c>
      <c r="L2" s="4">
        <v>462.93</v>
      </c>
      <c r="M2" s="5">
        <f>IF(AND(ISNUMBER(N2),ISNUMBER(L2),L2&gt;0),ROUND(N2/L2,2),"")</f>
        <v>6388.65</v>
      </c>
      <c r="N2" s="6">
        <v>2957500</v>
      </c>
      <c r="O2" s="7">
        <v>5281100</v>
      </c>
      <c r="P2" s="8">
        <f>IF(AND(ISNUMBER(N2),ISNUMBER(O2),O2&gt;0),N2/O2,"")</f>
        <v>0.5600159057772055</v>
      </c>
      <c r="Q2" s="9" t="s">
        <v>7</v>
      </c>
      <c r="R2" s="9" t="s">
        <v>44</v>
      </c>
    </row>
    <row r="3" spans="1:18" x14ac:dyDescent="0.25">
      <c r="A3" s="2" t="s">
        <v>34</v>
      </c>
      <c r="B3" s="2" t="s">
        <v>35</v>
      </c>
      <c r="C3" s="2" t="s">
        <v>36</v>
      </c>
      <c r="D3" s="2" t="s">
        <v>45</v>
      </c>
      <c r="E3" s="2" t="s">
        <v>38</v>
      </c>
      <c r="F3" s="2" t="s">
        <v>39</v>
      </c>
      <c r="G3" s="2" t="s">
        <v>40</v>
      </c>
      <c r="H3" s="2" t="s">
        <v>41</v>
      </c>
      <c r="I3" s="3">
        <v>46282.41666666667</v>
      </c>
      <c r="J3" s="2" t="s">
        <v>42</v>
      </c>
      <c r="K3" s="2" t="s">
        <v>43</v>
      </c>
      <c r="L3" s="10" t="s">
        <v>46</v>
      </c>
      <c r="M3" s="5" t="str">
        <f>IF(AND(ISNUMBER(N3),ISNUMBER(L3),L3&gt;0),ROUND(N3/L3,2),"")</f>
        <v/>
      </c>
      <c r="N3" s="6">
        <v>7003200</v>
      </c>
      <c r="O3" s="7">
        <v>12504800</v>
      </c>
      <c r="P3" s="8">
        <f>IF(AND(ISNUMBER(N3),ISNUMBER(O3),O3&gt;0),N3/O3,"")</f>
        <v>0.5600409442773975</v>
      </c>
      <c r="Q3" s="2" t="s">
        <v>47</v>
      </c>
      <c r="R3" s="9" t="s">
        <v>48</v>
      </c>
    </row>
    <row r="4" spans="1:18" x14ac:dyDescent="0.25">
      <c r="A4" s="2" t="s">
        <v>34</v>
      </c>
      <c r="B4" s="2" t="s">
        <v>35</v>
      </c>
      <c r="C4" s="2" t="s">
        <v>36</v>
      </c>
      <c r="D4" s="2" t="s">
        <v>49</v>
      </c>
      <c r="E4" s="2" t="s">
        <v>38</v>
      </c>
      <c r="F4" s="2" t="s">
        <v>39</v>
      </c>
      <c r="G4" s="2" t="s">
        <v>40</v>
      </c>
      <c r="H4" s="2" t="s">
        <v>41</v>
      </c>
      <c r="I4" s="3">
        <v>46281.41666666667</v>
      </c>
      <c r="J4" s="2" t="s">
        <v>42</v>
      </c>
      <c r="K4" s="2" t="s">
        <v>43</v>
      </c>
      <c r="L4" s="10" t="s">
        <v>46</v>
      </c>
      <c r="M4" s="5" t="str">
        <f>IF(AND(ISNUMBER(N4),ISNUMBER(L4),L4&gt;0),ROUND(N4/L4,2),"")</f>
        <v/>
      </c>
      <c r="N4" s="6">
        <v>6862800</v>
      </c>
      <c r="O4" s="7">
        <v>12255000</v>
      </c>
      <c r="P4" s="8">
        <f>IF(AND(ISNUMBER(N4),ISNUMBER(O4),O4&gt;0),N4/O4,"")</f>
        <v>0.56</v>
      </c>
      <c r="Q4" s="2" t="s">
        <v>50</v>
      </c>
      <c r="R4" s="9" t="s">
        <v>51</v>
      </c>
    </row>
    <row r="5" spans="1:18" x14ac:dyDescent="0.25">
      <c r="A5" s="2" t="s">
        <v>34</v>
      </c>
      <c r="B5" s="2" t="s">
        <v>35</v>
      </c>
      <c r="C5" s="2" t="s">
        <v>52</v>
      </c>
      <c r="D5" s="2" t="s">
        <v>53</v>
      </c>
      <c r="E5" s="2" t="s">
        <v>54</v>
      </c>
      <c r="F5" s="2" t="s">
        <v>39</v>
      </c>
      <c r="G5" s="2" t="s">
        <v>40</v>
      </c>
      <c r="H5" s="2" t="s">
        <v>55</v>
      </c>
      <c r="I5" s="3">
        <v>46303.41666666667</v>
      </c>
      <c r="J5" s="2" t="s">
        <v>42</v>
      </c>
      <c r="K5" s="2" t="s">
        <v>56</v>
      </c>
      <c r="L5" s="4">
        <v>37.61</v>
      </c>
      <c r="M5" s="5">
        <f>IF(AND(ISNUMBER(N5),ISNUMBER(L5),L5&gt;0),ROUND(N5/L5,2),"")</f>
        <v>6381.28</v>
      </c>
      <c r="N5" s="6">
        <v>240000</v>
      </c>
      <c r="O5" s="7">
        <v>312332.73</v>
      </c>
      <c r="P5" s="8">
        <f>IF(AND(ISNUMBER(N5),ISNUMBER(O5),O5&gt;0),N5/O5,"")</f>
        <v>0.7684113029076396</v>
      </c>
      <c r="Q5" s="9" t="s">
        <v>7</v>
      </c>
      <c r="R5" s="9" t="s">
        <v>57</v>
      </c>
    </row>
    <row r="6" spans="1:18" x14ac:dyDescent="0.25">
      <c r="A6" s="2" t="s">
        <v>34</v>
      </c>
      <c r="B6" s="2" t="s">
        <v>35</v>
      </c>
      <c r="C6" s="2" t="s">
        <v>58</v>
      </c>
      <c r="D6" s="2" t="s">
        <v>59</v>
      </c>
      <c r="E6" s="2" t="s">
        <v>60</v>
      </c>
      <c r="F6" s="2" t="s">
        <v>39</v>
      </c>
      <c r="G6" s="2" t="s">
        <v>40</v>
      </c>
      <c r="H6" s="2" t="s">
        <v>55</v>
      </c>
      <c r="I6" s="3">
        <v>46297.41666666667</v>
      </c>
      <c r="J6" s="2" t="s">
        <v>42</v>
      </c>
      <c r="K6" s="2" t="s">
        <v>61</v>
      </c>
      <c r="L6" s="4">
        <v>255.99</v>
      </c>
      <c r="M6" s="5">
        <f>IF(AND(ISNUMBER(N6),ISNUMBER(L6),L6&gt;0),ROUND(N6/L6,2),"")</f>
        <v>4550</v>
      </c>
      <c r="N6" s="6">
        <v>1164755</v>
      </c>
      <c r="O6" s="7">
        <v>1663935</v>
      </c>
      <c r="P6" s="8">
        <f>IF(AND(ISNUMBER(N6),ISNUMBER(O6),O6&gt;0),N6/O6,"")</f>
        <v>0.7000003004925072</v>
      </c>
      <c r="Q6" s="9" t="s">
        <v>7</v>
      </c>
      <c r="R6" s="9" t="s">
        <v>62</v>
      </c>
    </row>
    <row r="7" spans="1:18" x14ac:dyDescent="0.25">
      <c r="A7" s="2" t="s">
        <v>34</v>
      </c>
      <c r="B7" s="2" t="s">
        <v>35</v>
      </c>
      <c r="C7" s="2" t="s">
        <v>58</v>
      </c>
      <c r="D7" s="2" t="s">
        <v>63</v>
      </c>
      <c r="E7" s="2" t="s">
        <v>64</v>
      </c>
      <c r="F7" s="2" t="s">
        <v>39</v>
      </c>
      <c r="G7" s="2" t="s">
        <v>40</v>
      </c>
      <c r="H7" s="2" t="s">
        <v>55</v>
      </c>
      <c r="I7" s="3">
        <v>46297.41666666667</v>
      </c>
      <c r="J7" s="2" t="s">
        <v>42</v>
      </c>
      <c r="K7" s="2" t="s">
        <v>61</v>
      </c>
      <c r="L7" s="4">
        <v>210.63</v>
      </c>
      <c r="M7" s="5">
        <f>IF(AND(ISNUMBER(N7),ISNUMBER(L7),L7&gt;0),ROUND(N7/L7,2),"")</f>
        <v>2496.49</v>
      </c>
      <c r="N7" s="6">
        <v>525836</v>
      </c>
      <c r="O7" s="7">
        <v>751194</v>
      </c>
      <c r="P7" s="8">
        <f>IF(AND(ISNUMBER(N7),ISNUMBER(O7),O7&gt;0),N7/O7,"")</f>
        <v>0.7000002662428081</v>
      </c>
      <c r="Q7" s="9" t="s">
        <v>7</v>
      </c>
      <c r="R7" s="9" t="s">
        <v>65</v>
      </c>
    </row>
    <row r="8" spans="1:18" x14ac:dyDescent="0.25">
      <c r="A8" s="2" t="s">
        <v>34</v>
      </c>
      <c r="B8" s="2" t="s">
        <v>35</v>
      </c>
      <c r="C8" s="2" t="s">
        <v>58</v>
      </c>
      <c r="D8" s="2" t="s">
        <v>66</v>
      </c>
      <c r="E8" s="2" t="s">
        <v>67</v>
      </c>
      <c r="F8" s="2" t="s">
        <v>39</v>
      </c>
      <c r="G8" s="2" t="s">
        <v>40</v>
      </c>
      <c r="H8" s="2" t="s">
        <v>68</v>
      </c>
      <c r="I8" s="3">
        <v>46283.41666666667</v>
      </c>
      <c r="J8" s="2" t="s">
        <v>42</v>
      </c>
      <c r="K8" s="2" t="s">
        <v>69</v>
      </c>
      <c r="L8" s="4">
        <v>130.25</v>
      </c>
      <c r="M8" s="5">
        <f>IF(AND(ISNUMBER(N8),ISNUMBER(L8),L8&gt;0),ROUND(N8/L8,2),"")</f>
        <v>3009.6</v>
      </c>
      <c r="N8" s="6">
        <v>392000</v>
      </c>
      <c r="O8" s="7">
        <v>700000</v>
      </c>
      <c r="P8" s="8">
        <f>IF(AND(ISNUMBER(N8),ISNUMBER(O8),O8&gt;0),N8/O8,"")</f>
        <v>0.56</v>
      </c>
      <c r="Q8" s="9" t="s">
        <v>7</v>
      </c>
      <c r="R8" s="9" t="s">
        <v>70</v>
      </c>
    </row>
    <row r="9" spans="1:18" x14ac:dyDescent="0.25">
      <c r="A9" s="2" t="s">
        <v>34</v>
      </c>
      <c r="B9" s="2" t="s">
        <v>35</v>
      </c>
      <c r="C9" s="2" t="s">
        <v>52</v>
      </c>
      <c r="D9" s="2" t="s">
        <v>71</v>
      </c>
      <c r="E9" s="2" t="s">
        <v>72</v>
      </c>
      <c r="F9" s="2" t="s">
        <v>39</v>
      </c>
      <c r="G9" s="2" t="s">
        <v>40</v>
      </c>
      <c r="H9" s="2" t="s">
        <v>68</v>
      </c>
      <c r="I9" s="3">
        <v>46283.41666666667</v>
      </c>
      <c r="J9" s="2" t="s">
        <v>42</v>
      </c>
      <c r="K9" s="2" t="s">
        <v>69</v>
      </c>
      <c r="L9" s="4">
        <v>93.33</v>
      </c>
      <c r="M9" s="5">
        <f>IF(AND(ISNUMBER(N9),ISNUMBER(L9),L9&gt;0),ROUND(N9/L9,2),"")</f>
        <v>7393.12</v>
      </c>
      <c r="N9" s="6">
        <v>690000</v>
      </c>
      <c r="O9" s="7">
        <v>1065800</v>
      </c>
      <c r="P9" s="8">
        <f>IF(AND(ISNUMBER(N9),ISNUMBER(O9),O9&gt;0),N9/O9,"")</f>
        <v>0.6474010133233252</v>
      </c>
      <c r="Q9" s="9" t="s">
        <v>7</v>
      </c>
      <c r="R9" s="9" t="s">
        <v>73</v>
      </c>
    </row>
    <row r="10" spans="1:18" x14ac:dyDescent="0.25">
      <c r="A10" s="2" t="s">
        <v>34</v>
      </c>
      <c r="B10" s="2" t="s">
        <v>35</v>
      </c>
      <c r="C10" s="2" t="s">
        <v>58</v>
      </c>
      <c r="D10" s="2" t="s">
        <v>74</v>
      </c>
      <c r="E10" s="2" t="s">
        <v>75</v>
      </c>
      <c r="F10" s="2" t="s">
        <v>39</v>
      </c>
      <c r="G10" s="2" t="s">
        <v>40</v>
      </c>
      <c r="H10" s="2" t="s">
        <v>55</v>
      </c>
      <c r="I10" s="3">
        <v>46300.41666666667</v>
      </c>
      <c r="J10" s="2" t="s">
        <v>42</v>
      </c>
      <c r="K10" s="2" t="s">
        <v>69</v>
      </c>
      <c r="L10" s="4">
        <v>113.44</v>
      </c>
      <c r="M10" s="5">
        <f>IF(AND(ISNUMBER(N10),ISNUMBER(L10),L10&gt;0),ROUND(N10/L10,2),"")</f>
        <v>4416.43</v>
      </c>
      <c r="N10" s="6">
        <v>501000</v>
      </c>
      <c r="O10" s="7">
        <v>626200</v>
      </c>
      <c r="P10" s="8">
        <f>IF(AND(ISNUMBER(N10),ISNUMBER(O10),O10&gt;0),N10/O10,"")</f>
        <v>0.8000638773554775</v>
      </c>
      <c r="Q10" s="9" t="s">
        <v>7</v>
      </c>
      <c r="R10" s="9" t="s">
        <v>76</v>
      </c>
    </row>
    <row r="11" spans="1:18" x14ac:dyDescent="0.25">
      <c r="A11" s="2" t="s">
        <v>34</v>
      </c>
      <c r="B11" s="2" t="s">
        <v>35</v>
      </c>
      <c r="C11" s="2" t="s">
        <v>77</v>
      </c>
      <c r="D11" s="2" t="s">
        <v>78</v>
      </c>
      <c r="E11" s="2" t="s">
        <v>79</v>
      </c>
      <c r="F11" s="2" t="s">
        <v>39</v>
      </c>
      <c r="G11" s="2" t="s">
        <v>40</v>
      </c>
      <c r="H11" s="2" t="s">
        <v>68</v>
      </c>
      <c r="I11" s="3">
        <v>46283.41666666667</v>
      </c>
      <c r="J11" s="2" t="s">
        <v>42</v>
      </c>
      <c r="K11" s="2" t="s">
        <v>69</v>
      </c>
      <c r="L11" s="4">
        <v>131.19</v>
      </c>
      <c r="M11" s="5">
        <f>IF(AND(ISNUMBER(N11),ISNUMBER(L11),L11&gt;0),ROUND(N11/L11,2),"")</f>
        <v>7774.98</v>
      </c>
      <c r="N11" s="6">
        <v>1020000</v>
      </c>
      <c r="O11" s="7">
        <v>1583900</v>
      </c>
      <c r="P11" s="8">
        <f>IF(AND(ISNUMBER(N11),ISNUMBER(O11),O11&gt;0),N11/O11,"")</f>
        <v>0.6439800492455332</v>
      </c>
      <c r="Q11" s="9" t="s">
        <v>7</v>
      </c>
      <c r="R11" s="9" t="s">
        <v>80</v>
      </c>
    </row>
    <row r="12" spans="1:18" x14ac:dyDescent="0.25">
      <c r="A12" s="2" t="s">
        <v>34</v>
      </c>
      <c r="B12" s="2" t="s">
        <v>81</v>
      </c>
      <c r="C12" s="2" t="s">
        <v>82</v>
      </c>
      <c r="D12" s="2" t="s">
        <v>83</v>
      </c>
      <c r="E12" s="2" t="s">
        <v>54</v>
      </c>
      <c r="F12" s="2" t="s">
        <v>39</v>
      </c>
      <c r="G12" s="2" t="s">
        <v>84</v>
      </c>
      <c r="H12" s="2" t="s">
        <v>55</v>
      </c>
      <c r="I12" s="3">
        <v>46303.41666666667</v>
      </c>
      <c r="J12" s="2" t="s">
        <v>42</v>
      </c>
      <c r="K12" s="2" t="s">
        <v>85</v>
      </c>
      <c r="L12" s="10" t="s">
        <v>46</v>
      </c>
      <c r="M12" s="5" t="str">
        <f>IF(AND(ISNUMBER(N12),ISNUMBER(L12),L12&gt;0),ROUND(N12/L12,2),"")</f>
        <v/>
      </c>
      <c r="N12" s="6">
        <v>1595552</v>
      </c>
      <c r="O12" s="7">
        <v>2279360</v>
      </c>
      <c r="P12" s="8">
        <f>IF(AND(ISNUMBER(N12),ISNUMBER(O12),O12&gt;0),N12/O12,"")</f>
        <v>0.7</v>
      </c>
      <c r="Q12" s="2" t="s">
        <v>86</v>
      </c>
      <c r="R12" s="9" t="s">
        <v>87</v>
      </c>
    </row>
    <row r="13" spans="1:18" x14ac:dyDescent="0.25">
      <c r="A13" s="2" t="s">
        <v>34</v>
      </c>
      <c r="B13" s="2" t="s">
        <v>81</v>
      </c>
      <c r="C13" s="2" t="s">
        <v>88</v>
      </c>
      <c r="D13" s="2" t="s">
        <v>89</v>
      </c>
      <c r="E13" s="2" t="s">
        <v>90</v>
      </c>
      <c r="F13" s="2" t="s">
        <v>39</v>
      </c>
      <c r="G13" s="2" t="s">
        <v>84</v>
      </c>
      <c r="H13" s="2" t="s">
        <v>55</v>
      </c>
      <c r="I13" s="3">
        <v>46303.41666666667</v>
      </c>
      <c r="J13" s="2" t="s">
        <v>42</v>
      </c>
      <c r="K13" s="2" t="s">
        <v>91</v>
      </c>
      <c r="L13" s="10" t="s">
        <v>46</v>
      </c>
      <c r="M13" s="5" t="str">
        <f>IF(AND(ISNUMBER(N13),ISNUMBER(L13),L13&gt;0),ROUND(N13/L13,2),"")</f>
        <v/>
      </c>
      <c r="N13" s="6">
        <v>406320</v>
      </c>
      <c r="O13" s="7">
        <v>507900</v>
      </c>
      <c r="P13" s="8">
        <f>IF(AND(ISNUMBER(N13),ISNUMBER(O13),O13&gt;0),N13/O13,"")</f>
        <v>0.8</v>
      </c>
      <c r="Q13" s="2" t="s">
        <v>86</v>
      </c>
      <c r="R13" s="9" t="s">
        <v>92</v>
      </c>
    </row>
    <row r="14" spans="1:18" x14ac:dyDescent="0.25">
      <c r="A14" s="2" t="s">
        <v>34</v>
      </c>
      <c r="B14" s="2" t="s">
        <v>81</v>
      </c>
      <c r="C14" s="2" t="s">
        <v>93</v>
      </c>
      <c r="D14" s="2" t="s">
        <v>94</v>
      </c>
      <c r="E14" s="2" t="s">
        <v>95</v>
      </c>
      <c r="F14" s="2" t="s">
        <v>39</v>
      </c>
      <c r="G14" s="2" t="s">
        <v>84</v>
      </c>
      <c r="H14" s="2" t="s">
        <v>55</v>
      </c>
      <c r="I14" s="3">
        <v>46297.41666666667</v>
      </c>
      <c r="J14" s="2" t="s">
        <v>42</v>
      </c>
      <c r="K14" s="2" t="s">
        <v>96</v>
      </c>
      <c r="L14" s="10" t="s">
        <v>46</v>
      </c>
      <c r="M14" s="5" t="str">
        <f>IF(AND(ISNUMBER(N14),ISNUMBER(L14),L14&gt;0),ROUND(N14/L14,2),"")</f>
        <v/>
      </c>
      <c r="N14" s="6">
        <v>640000</v>
      </c>
      <c r="O14" s="7">
        <v>913095</v>
      </c>
      <c r="P14" s="8">
        <f>IF(AND(ISNUMBER(N14),ISNUMBER(O14),O14&gt;0),N14/O14,"")</f>
        <v>0.7009128294427195</v>
      </c>
      <c r="Q14" s="2" t="s">
        <v>86</v>
      </c>
      <c r="R14" s="9" t="s">
        <v>97</v>
      </c>
    </row>
    <row r="15" spans="1:18" x14ac:dyDescent="0.25">
      <c r="A15" s="2" t="s">
        <v>34</v>
      </c>
      <c r="B15" s="2" t="s">
        <v>81</v>
      </c>
      <c r="C15" s="2" t="s">
        <v>93</v>
      </c>
      <c r="D15" s="2" t="s">
        <v>98</v>
      </c>
      <c r="E15" s="2" t="s">
        <v>99</v>
      </c>
      <c r="F15" s="2" t="s">
        <v>100</v>
      </c>
      <c r="G15" s="2" t="s">
        <v>84</v>
      </c>
      <c r="H15" s="2" t="s">
        <v>41</v>
      </c>
      <c r="I15" s="3">
        <v>46282.41666666667</v>
      </c>
      <c r="J15" s="2" t="s">
        <v>42</v>
      </c>
      <c r="K15" s="2" t="s">
        <v>96</v>
      </c>
      <c r="L15" s="10" t="s">
        <v>46</v>
      </c>
      <c r="M15" s="5" t="str">
        <f>IF(AND(ISNUMBER(N15),ISNUMBER(L15),L15&gt;0),ROUND(N15/L15,2),"")</f>
        <v/>
      </c>
      <c r="N15" s="6">
        <v>910000</v>
      </c>
      <c r="O15" s="7">
        <v>1613063</v>
      </c>
      <c r="P15" s="8">
        <f>IF(AND(ISNUMBER(N15),ISNUMBER(O15),O15&gt;0),N15/O15,"")</f>
        <v>0.5641441158838806</v>
      </c>
      <c r="Q15" s="2" t="s">
        <v>86</v>
      </c>
      <c r="R15" s="9" t="s">
        <v>101</v>
      </c>
    </row>
    <row r="16" spans="1:18" x14ac:dyDescent="0.25">
      <c r="A16" s="2" t="s">
        <v>34</v>
      </c>
      <c r="B16" s="2" t="s">
        <v>81</v>
      </c>
      <c r="C16" s="2" t="s">
        <v>102</v>
      </c>
      <c r="D16" s="2" t="s">
        <v>103</v>
      </c>
      <c r="E16" s="2" t="s">
        <v>104</v>
      </c>
      <c r="F16" s="2" t="s">
        <v>39</v>
      </c>
      <c r="G16" s="2" t="s">
        <v>84</v>
      </c>
      <c r="H16" s="2" t="s">
        <v>55</v>
      </c>
      <c r="I16" s="3">
        <v>46296.41666666667</v>
      </c>
      <c r="J16" s="2" t="s">
        <v>42</v>
      </c>
      <c r="K16" s="2" t="s">
        <v>105</v>
      </c>
      <c r="L16" s="4">
        <v>135.83</v>
      </c>
      <c r="M16" s="5">
        <f>IF(AND(ISNUMBER(N16),ISNUMBER(L16),L16&gt;0),ROUND(N16/L16,2),"")</f>
        <v>3880.56</v>
      </c>
      <c r="N16" s="6">
        <v>527096.08</v>
      </c>
      <c r="O16" s="7">
        <v>752994.39</v>
      </c>
      <c r="P16" s="8">
        <f>IF(AND(ISNUMBER(N16),ISNUMBER(O16),O16&gt;0),N16/O16,"")</f>
        <v>0.700000009296218</v>
      </c>
      <c r="Q16" s="2" t="s">
        <v>106</v>
      </c>
      <c r="R16" s="9" t="s">
        <v>107</v>
      </c>
    </row>
    <row r="17" spans="1:18" x14ac:dyDescent="0.25">
      <c r="A17" s="2" t="s">
        <v>34</v>
      </c>
      <c r="B17" s="2" t="s">
        <v>81</v>
      </c>
      <c r="C17" s="2" t="s">
        <v>102</v>
      </c>
      <c r="D17" s="2" t="s">
        <v>108</v>
      </c>
      <c r="E17" s="2" t="s">
        <v>109</v>
      </c>
      <c r="F17" s="2" t="s">
        <v>39</v>
      </c>
      <c r="G17" s="2" t="s">
        <v>84</v>
      </c>
      <c r="H17" s="2" t="s">
        <v>55</v>
      </c>
      <c r="I17" s="3">
        <v>46296.41666666667</v>
      </c>
      <c r="J17" s="2" t="s">
        <v>42</v>
      </c>
      <c r="K17" s="2" t="s">
        <v>105</v>
      </c>
      <c r="L17" s="4">
        <v>140.52</v>
      </c>
      <c r="M17" s="5">
        <f>IF(AND(ISNUMBER(N17),ISNUMBER(L17),L17&gt;0),ROUND(N17/L17,2),"")</f>
        <v>4570.3</v>
      </c>
      <c r="N17" s="6">
        <v>642218.7</v>
      </c>
      <c r="O17" s="7">
        <v>917455.28</v>
      </c>
      <c r="P17" s="8">
        <f>IF(AND(ISNUMBER(N17),ISNUMBER(O17),O17&gt;0),N17/O17,"")</f>
        <v>0.7000000043598854</v>
      </c>
      <c r="Q17" s="2" t="s">
        <v>110</v>
      </c>
      <c r="R17" s="9" t="s">
        <v>111</v>
      </c>
    </row>
    <row r="18" spans="1:18" x14ac:dyDescent="0.25">
      <c r="A18" s="2" t="s">
        <v>34</v>
      </c>
      <c r="B18" s="2" t="s">
        <v>81</v>
      </c>
      <c r="C18" s="2" t="s">
        <v>112</v>
      </c>
      <c r="D18" s="2" t="s">
        <v>113</v>
      </c>
      <c r="E18" s="2" t="s">
        <v>114</v>
      </c>
      <c r="F18" s="2" t="s">
        <v>39</v>
      </c>
      <c r="G18" s="2" t="s">
        <v>84</v>
      </c>
      <c r="H18" s="2" t="s">
        <v>55</v>
      </c>
      <c r="I18" s="3">
        <v>46298.41666666667</v>
      </c>
      <c r="J18" s="2" t="s">
        <v>42</v>
      </c>
      <c r="K18" s="2" t="s">
        <v>115</v>
      </c>
      <c r="L18" s="4">
        <v>95.49</v>
      </c>
      <c r="M18" s="5">
        <f>IF(AND(ISNUMBER(N18),ISNUMBER(L18),L18&gt;0),ROUND(N18/L18,2),"")</f>
        <v>7908.59</v>
      </c>
      <c r="N18" s="6">
        <v>755191</v>
      </c>
      <c r="O18" s="7">
        <v>943989.32</v>
      </c>
      <c r="P18" s="8">
        <f>IF(AND(ISNUMBER(N18),ISNUMBER(O18),O18&gt;0),N18/O18,"")</f>
        <v>0.7999995169436875</v>
      </c>
      <c r="Q18" s="9" t="s">
        <v>7</v>
      </c>
      <c r="R18" s="9" t="s">
        <v>116</v>
      </c>
    </row>
    <row r="19" spans="1:18" x14ac:dyDescent="0.25">
      <c r="A19" s="2" t="s">
        <v>34</v>
      </c>
      <c r="B19" s="2" t="s">
        <v>81</v>
      </c>
      <c r="C19" s="2" t="s">
        <v>93</v>
      </c>
      <c r="D19" s="2" t="s">
        <v>117</v>
      </c>
      <c r="E19" s="2" t="s">
        <v>118</v>
      </c>
      <c r="F19" s="2" t="s">
        <v>39</v>
      </c>
      <c r="G19" s="2" t="s">
        <v>84</v>
      </c>
      <c r="H19" s="2" t="s">
        <v>41</v>
      </c>
      <c r="I19" s="3">
        <v>46281.41666666667</v>
      </c>
      <c r="J19" s="2" t="s">
        <v>42</v>
      </c>
      <c r="K19" s="2" t="s">
        <v>96</v>
      </c>
      <c r="L19" s="4">
        <v>119.41</v>
      </c>
      <c r="M19" s="5">
        <f>IF(AND(ISNUMBER(N19),ISNUMBER(L19),L19&gt;0),ROUND(N19/L19,2),"")</f>
        <v>3483.8</v>
      </c>
      <c r="N19" s="6">
        <v>416000</v>
      </c>
      <c r="O19" s="7">
        <v>741834</v>
      </c>
      <c r="P19" s="8">
        <f>IF(AND(ISNUMBER(N19),ISNUMBER(O19),O19&gt;0),N19/O19,"")</f>
        <v>0.560772356079662</v>
      </c>
      <c r="Q19" s="9" t="s">
        <v>7</v>
      </c>
      <c r="R19" s="9" t="s">
        <v>119</v>
      </c>
    </row>
    <row r="20" spans="1:18" x14ac:dyDescent="0.25">
      <c r="A20" s="2" t="s">
        <v>34</v>
      </c>
      <c r="B20" s="2" t="s">
        <v>81</v>
      </c>
      <c r="C20" s="2" t="s">
        <v>120</v>
      </c>
      <c r="D20" s="2" t="s">
        <v>121</v>
      </c>
      <c r="E20" s="2" t="s">
        <v>122</v>
      </c>
      <c r="F20" s="2" t="s">
        <v>39</v>
      </c>
      <c r="G20" s="2" t="s">
        <v>84</v>
      </c>
      <c r="H20" s="2" t="s">
        <v>55</v>
      </c>
      <c r="I20" s="3">
        <v>46307.41666666667</v>
      </c>
      <c r="J20" s="2" t="s">
        <v>42</v>
      </c>
      <c r="K20" s="2" t="s">
        <v>123</v>
      </c>
      <c r="L20" s="4">
        <v>152.3</v>
      </c>
      <c r="M20" s="5">
        <f>IF(AND(ISNUMBER(N20),ISNUMBER(L20),L20&gt;0),ROUND(N20/L20,2),"")</f>
        <v>7949.55</v>
      </c>
      <c r="N20" s="6">
        <v>1210717</v>
      </c>
      <c r="O20" s="7">
        <v>1729595</v>
      </c>
      <c r="P20" s="8">
        <f>IF(AND(ISNUMBER(N20),ISNUMBER(O20),O20&gt;0),N20/O20,"")</f>
        <v>0.700000289085017</v>
      </c>
      <c r="Q20" s="2" t="s">
        <v>124</v>
      </c>
      <c r="R20" s="9" t="s">
        <v>125</v>
      </c>
    </row>
    <row r="21" spans="1:18" x14ac:dyDescent="0.25">
      <c r="A21" s="2" t="s">
        <v>34</v>
      </c>
      <c r="B21" s="2" t="s">
        <v>35</v>
      </c>
      <c r="C21" s="2" t="s">
        <v>126</v>
      </c>
      <c r="D21" s="2" t="s">
        <v>127</v>
      </c>
      <c r="E21" s="2" t="s">
        <v>128</v>
      </c>
      <c r="F21" s="2" t="s">
        <v>39</v>
      </c>
      <c r="G21" s="2" t="s">
        <v>84</v>
      </c>
      <c r="H21" s="2" t="s">
        <v>55</v>
      </c>
      <c r="I21" s="3">
        <v>46303.41666666667</v>
      </c>
      <c r="J21" s="2" t="s">
        <v>42</v>
      </c>
      <c r="K21" s="2" t="s">
        <v>129</v>
      </c>
      <c r="L21" s="10" t="s">
        <v>46</v>
      </c>
      <c r="M21" s="5" t="str">
        <f>IF(AND(ISNUMBER(N21),ISNUMBER(L21),L21&gt;0),ROUND(N21/L21,2),"")</f>
        <v/>
      </c>
      <c r="N21" s="6">
        <v>14570</v>
      </c>
      <c r="O21" s="7">
        <v>20813</v>
      </c>
      <c r="P21" s="8">
        <f>IF(AND(ISNUMBER(N21),ISNUMBER(O21),O21&gt;0),N21/O21,"")</f>
        <v>0.7000432422043915</v>
      </c>
      <c r="Q21" s="2" t="s">
        <v>130</v>
      </c>
      <c r="R21" s="9" t="s">
        <v>131</v>
      </c>
    </row>
    <row r="22" spans="1:18" x14ac:dyDescent="0.25">
      <c r="A22" s="2" t="s">
        <v>34</v>
      </c>
      <c r="B22" s="2" t="s">
        <v>35</v>
      </c>
      <c r="C22" s="2" t="s">
        <v>77</v>
      </c>
      <c r="D22" s="2" t="s">
        <v>132</v>
      </c>
      <c r="E22" s="2" t="s">
        <v>133</v>
      </c>
      <c r="F22" s="2" t="s">
        <v>39</v>
      </c>
      <c r="G22" s="2" t="s">
        <v>84</v>
      </c>
      <c r="H22" s="2" t="s">
        <v>55</v>
      </c>
      <c r="I22" s="3">
        <v>46303.41666666667</v>
      </c>
      <c r="J22" s="2" t="s">
        <v>42</v>
      </c>
      <c r="K22" s="2" t="s">
        <v>134</v>
      </c>
      <c r="L22" s="10" t="s">
        <v>46</v>
      </c>
      <c r="M22" s="5" t="str">
        <f>IF(AND(ISNUMBER(N22),ISNUMBER(L22),L22&gt;0),ROUND(N22/L22,2),"")</f>
        <v/>
      </c>
      <c r="N22" s="6">
        <v>11000000</v>
      </c>
      <c r="O22" s="7">
        <v>15710000</v>
      </c>
      <c r="P22" s="8">
        <f>IF(AND(ISNUMBER(N22),ISNUMBER(O22),O22&gt;0),N22/O22,"")</f>
        <v>0.7001909611712285</v>
      </c>
      <c r="Q22" s="2" t="s">
        <v>86</v>
      </c>
      <c r="R22" s="9" t="s">
        <v>135</v>
      </c>
    </row>
    <row r="23" spans="1:18" x14ac:dyDescent="0.25">
      <c r="A23" s="2" t="s">
        <v>34</v>
      </c>
      <c r="B23" s="2" t="s">
        <v>35</v>
      </c>
      <c r="C23" s="2" t="s">
        <v>126</v>
      </c>
      <c r="D23" s="2" t="s">
        <v>136</v>
      </c>
      <c r="E23" s="2" t="s">
        <v>128</v>
      </c>
      <c r="F23" s="2" t="s">
        <v>39</v>
      </c>
      <c r="G23" s="2" t="s">
        <v>84</v>
      </c>
      <c r="H23" s="2" t="s">
        <v>55</v>
      </c>
      <c r="I23" s="3">
        <v>46303.41666666667</v>
      </c>
      <c r="J23" s="2" t="s">
        <v>42</v>
      </c>
      <c r="K23" s="2" t="s">
        <v>129</v>
      </c>
      <c r="L23" s="10" t="s">
        <v>46</v>
      </c>
      <c r="M23" s="5" t="str">
        <f>IF(AND(ISNUMBER(N23),ISNUMBER(L23),L23&gt;0),ROUND(N23/L23,2),"")</f>
        <v/>
      </c>
      <c r="N23" s="6">
        <v>16560</v>
      </c>
      <c r="O23" s="7">
        <v>23656</v>
      </c>
      <c r="P23" s="8">
        <f>IF(AND(ISNUMBER(N23),ISNUMBER(O23),O23&gt;0),N23/O23,"")</f>
        <v>0.7000338180588435</v>
      </c>
      <c r="Q23" s="2" t="s">
        <v>130</v>
      </c>
      <c r="R23" s="9" t="s">
        <v>137</v>
      </c>
    </row>
    <row r="24" spans="1:18" x14ac:dyDescent="0.25">
      <c r="A24" s="2" t="s">
        <v>34</v>
      </c>
      <c r="B24" s="2" t="s">
        <v>35</v>
      </c>
      <c r="C24" s="2" t="s">
        <v>126</v>
      </c>
      <c r="D24" s="2" t="s">
        <v>138</v>
      </c>
      <c r="E24" s="2" t="s">
        <v>128</v>
      </c>
      <c r="F24" s="2" t="s">
        <v>39</v>
      </c>
      <c r="G24" s="2" t="s">
        <v>84</v>
      </c>
      <c r="H24" s="2" t="s">
        <v>55</v>
      </c>
      <c r="I24" s="3">
        <v>46303.41666666667</v>
      </c>
      <c r="J24" s="2" t="s">
        <v>42</v>
      </c>
      <c r="K24" s="2" t="s">
        <v>129</v>
      </c>
      <c r="L24" s="10" t="s">
        <v>46</v>
      </c>
      <c r="M24" s="5" t="str">
        <f>IF(AND(ISNUMBER(N24),ISNUMBER(L24),L24&gt;0),ROUND(N24/L24,2),"")</f>
        <v/>
      </c>
      <c r="N24" s="6">
        <v>15711</v>
      </c>
      <c r="O24" s="7">
        <v>22443</v>
      </c>
      <c r="P24" s="8">
        <f>IF(AND(ISNUMBER(N24),ISNUMBER(O24),O24&gt;0),N24/O24,"")</f>
        <v>0.7000401015906964</v>
      </c>
      <c r="Q24" s="2" t="s">
        <v>130</v>
      </c>
      <c r="R24" s="9" t="s">
        <v>139</v>
      </c>
    </row>
    <row r="25" spans="1:18" x14ac:dyDescent="0.25">
      <c r="A25" s="2" t="s">
        <v>34</v>
      </c>
      <c r="B25" s="2" t="s">
        <v>35</v>
      </c>
      <c r="C25" s="2" t="s">
        <v>126</v>
      </c>
      <c r="D25" s="2" t="s">
        <v>140</v>
      </c>
      <c r="E25" s="2" t="s">
        <v>128</v>
      </c>
      <c r="F25" s="2" t="s">
        <v>39</v>
      </c>
      <c r="G25" s="2" t="s">
        <v>84</v>
      </c>
      <c r="H25" s="2" t="s">
        <v>55</v>
      </c>
      <c r="I25" s="3">
        <v>46303.41666666667</v>
      </c>
      <c r="J25" s="2" t="s">
        <v>42</v>
      </c>
      <c r="K25" s="2" t="s">
        <v>129</v>
      </c>
      <c r="L25" s="10" t="s">
        <v>46</v>
      </c>
      <c r="M25" s="5" t="str">
        <f>IF(AND(ISNUMBER(N25),ISNUMBER(L25),L25&gt;0),ROUND(N25/L25,2),"")</f>
        <v/>
      </c>
      <c r="N25" s="6">
        <v>16560</v>
      </c>
      <c r="O25" s="7">
        <v>23656</v>
      </c>
      <c r="P25" s="8">
        <f>IF(AND(ISNUMBER(N25),ISNUMBER(O25),O25&gt;0),N25/O25,"")</f>
        <v>0.7000338180588435</v>
      </c>
      <c r="Q25" s="2" t="s">
        <v>130</v>
      </c>
      <c r="R25" s="9" t="s">
        <v>141</v>
      </c>
    </row>
    <row r="26" spans="1:18" x14ac:dyDescent="0.25">
      <c r="A26" s="2" t="s">
        <v>34</v>
      </c>
      <c r="B26" s="2" t="s">
        <v>35</v>
      </c>
      <c r="C26" s="2" t="s">
        <v>126</v>
      </c>
      <c r="D26" s="2" t="s">
        <v>142</v>
      </c>
      <c r="E26" s="2" t="s">
        <v>128</v>
      </c>
      <c r="F26" s="2" t="s">
        <v>39</v>
      </c>
      <c r="G26" s="2" t="s">
        <v>84</v>
      </c>
      <c r="H26" s="2" t="s">
        <v>55</v>
      </c>
      <c r="I26" s="3">
        <v>46303.41666666667</v>
      </c>
      <c r="J26" s="2" t="s">
        <v>42</v>
      </c>
      <c r="K26" s="2" t="s">
        <v>129</v>
      </c>
      <c r="L26" s="10" t="s">
        <v>46</v>
      </c>
      <c r="M26" s="5" t="str">
        <f>IF(AND(ISNUMBER(N26),ISNUMBER(L26),L26&gt;0),ROUND(N26/L26,2),"")</f>
        <v/>
      </c>
      <c r="N26" s="6">
        <v>15286</v>
      </c>
      <c r="O26" s="7">
        <v>21836</v>
      </c>
      <c r="P26" s="8">
        <f>IF(AND(ISNUMBER(N26),ISNUMBER(O26),O26&gt;0),N26/O26,"")</f>
        <v>0.700036636746657</v>
      </c>
      <c r="Q26" s="2" t="s">
        <v>130</v>
      </c>
      <c r="R26" s="9" t="s">
        <v>143</v>
      </c>
    </row>
    <row r="27" spans="1:18" x14ac:dyDescent="0.25">
      <c r="A27" s="2" t="s">
        <v>34</v>
      </c>
      <c r="B27" s="2" t="s">
        <v>35</v>
      </c>
      <c r="C27" s="2" t="s">
        <v>52</v>
      </c>
      <c r="D27" s="2" t="s">
        <v>144</v>
      </c>
      <c r="E27" s="2" t="s">
        <v>145</v>
      </c>
      <c r="F27" s="2" t="s">
        <v>39</v>
      </c>
      <c r="G27" s="2" t="s">
        <v>84</v>
      </c>
      <c r="H27" s="2" t="s">
        <v>55</v>
      </c>
      <c r="I27" s="3">
        <v>46303.41666666667</v>
      </c>
      <c r="J27" s="2" t="s">
        <v>42</v>
      </c>
      <c r="K27" s="2" t="s">
        <v>146</v>
      </c>
      <c r="L27" s="4">
        <v>144.61</v>
      </c>
      <c r="M27" s="5">
        <f>IF(AND(ISNUMBER(N27),ISNUMBER(L27),L27&gt;0),ROUND(N27/L27,2),"")</f>
        <v>3333.5</v>
      </c>
      <c r="N27" s="6">
        <v>482058</v>
      </c>
      <c r="O27" s="7">
        <v>688653</v>
      </c>
      <c r="P27" s="8">
        <f>IF(AND(ISNUMBER(N27),ISNUMBER(O27),O27&gt;0),N27/O27,"")</f>
        <v>0.7000013068991204</v>
      </c>
      <c r="Q27" s="9" t="s">
        <v>7</v>
      </c>
      <c r="R27" s="9" t="s">
        <v>147</v>
      </c>
    </row>
    <row r="28" spans="1:18" x14ac:dyDescent="0.25">
      <c r="A28" s="2" t="s">
        <v>34</v>
      </c>
      <c r="B28" s="2" t="s">
        <v>35</v>
      </c>
      <c r="C28" s="2" t="s">
        <v>126</v>
      </c>
      <c r="D28" s="2" t="s">
        <v>148</v>
      </c>
      <c r="E28" s="2" t="s">
        <v>128</v>
      </c>
      <c r="F28" s="2" t="s">
        <v>39</v>
      </c>
      <c r="G28" s="2" t="s">
        <v>84</v>
      </c>
      <c r="H28" s="2" t="s">
        <v>55</v>
      </c>
      <c r="I28" s="3">
        <v>46303.41666666667</v>
      </c>
      <c r="J28" s="2" t="s">
        <v>42</v>
      </c>
      <c r="K28" s="2" t="s">
        <v>129</v>
      </c>
      <c r="L28" s="10" t="s">
        <v>46</v>
      </c>
      <c r="M28" s="5" t="str">
        <f>IF(AND(ISNUMBER(N28),ISNUMBER(L28),L28&gt;0),ROUND(N28/L28,2),"")</f>
        <v/>
      </c>
      <c r="N28" s="6">
        <v>15286</v>
      </c>
      <c r="O28" s="7">
        <v>21836</v>
      </c>
      <c r="P28" s="8">
        <f>IF(AND(ISNUMBER(N28),ISNUMBER(O28),O28&gt;0),N28/O28,"")</f>
        <v>0.700036636746657</v>
      </c>
      <c r="Q28" s="2" t="s">
        <v>130</v>
      </c>
      <c r="R28" s="9" t="s">
        <v>149</v>
      </c>
    </row>
    <row r="29" spans="1:18" x14ac:dyDescent="0.25">
      <c r="A29" s="2" t="s">
        <v>34</v>
      </c>
      <c r="B29" s="2" t="s">
        <v>35</v>
      </c>
      <c r="C29" s="2" t="s">
        <v>52</v>
      </c>
      <c r="D29" s="2" t="s">
        <v>150</v>
      </c>
      <c r="E29" s="2" t="s">
        <v>151</v>
      </c>
      <c r="F29" s="2" t="s">
        <v>39</v>
      </c>
      <c r="G29" s="2" t="s">
        <v>84</v>
      </c>
      <c r="H29" s="2" t="s">
        <v>55</v>
      </c>
      <c r="I29" s="3">
        <v>46297.41666666667</v>
      </c>
      <c r="J29" s="2" t="s">
        <v>42</v>
      </c>
      <c r="K29" s="2" t="s">
        <v>152</v>
      </c>
      <c r="L29" s="4">
        <v>37.47</v>
      </c>
      <c r="M29" s="5">
        <f>IF(AND(ISNUMBER(N29),ISNUMBER(L29),L29&gt;0),ROUND(N29/L29,2),"")</f>
        <v>4803.84</v>
      </c>
      <c r="N29" s="6">
        <v>180000</v>
      </c>
      <c r="O29" s="7">
        <v>255172</v>
      </c>
      <c r="P29" s="8">
        <f>IF(AND(ISNUMBER(N29),ISNUMBER(O29),O29&gt;0),N29/O29,"")</f>
        <v>0.7054065493079178</v>
      </c>
      <c r="Q29" s="9" t="s">
        <v>7</v>
      </c>
      <c r="R29" s="9" t="s">
        <v>153</v>
      </c>
    </row>
    <row r="30" spans="1:18" x14ac:dyDescent="0.25">
      <c r="A30" s="2" t="s">
        <v>34</v>
      </c>
      <c r="B30" s="2" t="s">
        <v>35</v>
      </c>
      <c r="C30" s="2" t="s">
        <v>126</v>
      </c>
      <c r="D30" s="2" t="s">
        <v>154</v>
      </c>
      <c r="E30" s="2" t="s">
        <v>128</v>
      </c>
      <c r="F30" s="2" t="s">
        <v>39</v>
      </c>
      <c r="G30" s="2" t="s">
        <v>84</v>
      </c>
      <c r="H30" s="2" t="s">
        <v>55</v>
      </c>
      <c r="I30" s="3">
        <v>46303.41666666667</v>
      </c>
      <c r="J30" s="2" t="s">
        <v>42</v>
      </c>
      <c r="K30" s="2" t="s">
        <v>129</v>
      </c>
      <c r="L30" s="10" t="s">
        <v>46</v>
      </c>
      <c r="M30" s="5" t="str">
        <f>IF(AND(ISNUMBER(N30),ISNUMBER(L30),L30&gt;0),ROUND(N30/L30,2),"")</f>
        <v/>
      </c>
      <c r="N30" s="6">
        <v>10297</v>
      </c>
      <c r="O30" s="7">
        <v>14709</v>
      </c>
      <c r="P30" s="8">
        <f>IF(AND(ISNUMBER(N30),ISNUMBER(O30),O30&gt;0),N30/O30,"")</f>
        <v>0.7000475899109389</v>
      </c>
      <c r="Q30" s="2" t="s">
        <v>130</v>
      </c>
      <c r="R30" s="9" t="s">
        <v>155</v>
      </c>
    </row>
    <row r="31" spans="1:18" x14ac:dyDescent="0.25">
      <c r="A31" s="2" t="s">
        <v>34</v>
      </c>
      <c r="B31" s="2" t="s">
        <v>35</v>
      </c>
      <c r="C31" s="2" t="s">
        <v>77</v>
      </c>
      <c r="D31" s="2" t="s">
        <v>156</v>
      </c>
      <c r="E31" s="2" t="s">
        <v>54</v>
      </c>
      <c r="F31" s="2" t="s">
        <v>39</v>
      </c>
      <c r="G31" s="2" t="s">
        <v>84</v>
      </c>
      <c r="H31" s="2" t="s">
        <v>55</v>
      </c>
      <c r="I31" s="3">
        <v>46297.41666666667</v>
      </c>
      <c r="J31" s="2" t="s">
        <v>42</v>
      </c>
      <c r="K31" s="2" t="s">
        <v>152</v>
      </c>
      <c r="L31" s="4">
        <v>86.86</v>
      </c>
      <c r="M31" s="5">
        <f>IF(AND(ISNUMBER(N31),ISNUMBER(L31),L31&gt;0),ROUND(N31/L31,2),"")</f>
        <v>8289.2</v>
      </c>
      <c r="N31" s="6">
        <v>720000</v>
      </c>
      <c r="O31" s="7">
        <v>1018400</v>
      </c>
      <c r="P31" s="8">
        <f>IF(AND(ISNUMBER(N31),ISNUMBER(O31),O31&gt;0),N31/O31,"")</f>
        <v>0.7069913589945012</v>
      </c>
      <c r="Q31" s="9" t="s">
        <v>7</v>
      </c>
      <c r="R31" s="9" t="s">
        <v>157</v>
      </c>
    </row>
    <row r="32" spans="1:18" x14ac:dyDescent="0.25">
      <c r="A32" s="2" t="s">
        <v>34</v>
      </c>
      <c r="B32" s="2" t="s">
        <v>35</v>
      </c>
      <c r="C32" s="2" t="s">
        <v>126</v>
      </c>
      <c r="D32" s="2" t="s">
        <v>158</v>
      </c>
      <c r="E32" s="2" t="s">
        <v>128</v>
      </c>
      <c r="F32" s="2" t="s">
        <v>39</v>
      </c>
      <c r="G32" s="2" t="s">
        <v>84</v>
      </c>
      <c r="H32" s="2" t="s">
        <v>55</v>
      </c>
      <c r="I32" s="3">
        <v>46303.41666666667</v>
      </c>
      <c r="J32" s="2" t="s">
        <v>42</v>
      </c>
      <c r="K32" s="2" t="s">
        <v>129</v>
      </c>
      <c r="L32" s="10" t="s">
        <v>46</v>
      </c>
      <c r="M32" s="5" t="str">
        <f>IF(AND(ISNUMBER(N32),ISNUMBER(L32),L32&gt;0),ROUND(N32/L32,2),"")</f>
        <v/>
      </c>
      <c r="N32" s="6">
        <v>16560</v>
      </c>
      <c r="O32" s="7">
        <v>23656</v>
      </c>
      <c r="P32" s="8">
        <f>IF(AND(ISNUMBER(N32),ISNUMBER(O32),O32&gt;0),N32/O32,"")</f>
        <v>0.7000338180588435</v>
      </c>
      <c r="Q32" s="2" t="s">
        <v>130</v>
      </c>
      <c r="R32" s="9" t="s">
        <v>159</v>
      </c>
    </row>
    <row r="33" spans="1:18" x14ac:dyDescent="0.25">
      <c r="A33" s="2" t="s">
        <v>34</v>
      </c>
      <c r="B33" s="2" t="s">
        <v>35</v>
      </c>
      <c r="C33" s="2" t="s">
        <v>126</v>
      </c>
      <c r="D33" s="2" t="s">
        <v>160</v>
      </c>
      <c r="E33" s="2" t="s">
        <v>128</v>
      </c>
      <c r="F33" s="2" t="s">
        <v>39</v>
      </c>
      <c r="G33" s="2" t="s">
        <v>84</v>
      </c>
      <c r="H33" s="2" t="s">
        <v>55</v>
      </c>
      <c r="I33" s="3">
        <v>46303.41666666667</v>
      </c>
      <c r="J33" s="2" t="s">
        <v>42</v>
      </c>
      <c r="K33" s="2" t="s">
        <v>129</v>
      </c>
      <c r="L33" s="10" t="s">
        <v>46</v>
      </c>
      <c r="M33" s="5" t="str">
        <f>IF(AND(ISNUMBER(N33),ISNUMBER(L33),L33&gt;0),ROUND(N33/L33,2),"")</f>
        <v/>
      </c>
      <c r="N33" s="6">
        <v>15286</v>
      </c>
      <c r="O33" s="7">
        <v>21836</v>
      </c>
      <c r="P33" s="8">
        <f>IF(AND(ISNUMBER(N33),ISNUMBER(O33),O33&gt;0),N33/O33,"")</f>
        <v>0.700036636746657</v>
      </c>
      <c r="Q33" s="2" t="s">
        <v>130</v>
      </c>
      <c r="R33" s="9" t="s">
        <v>161</v>
      </c>
    </row>
    <row r="34" spans="1:18" x14ac:dyDescent="0.25">
      <c r="A34" s="2" t="s">
        <v>34</v>
      </c>
      <c r="B34" s="2" t="s">
        <v>35</v>
      </c>
      <c r="C34" s="2" t="s">
        <v>126</v>
      </c>
      <c r="D34" s="2" t="s">
        <v>162</v>
      </c>
      <c r="E34" s="2" t="s">
        <v>128</v>
      </c>
      <c r="F34" s="2" t="s">
        <v>39</v>
      </c>
      <c r="G34" s="2" t="s">
        <v>84</v>
      </c>
      <c r="H34" s="2" t="s">
        <v>55</v>
      </c>
      <c r="I34" s="3">
        <v>46303.41666666667</v>
      </c>
      <c r="J34" s="2" t="s">
        <v>42</v>
      </c>
      <c r="K34" s="2" t="s">
        <v>129</v>
      </c>
      <c r="L34" s="10" t="s">
        <v>46</v>
      </c>
      <c r="M34" s="5" t="str">
        <f>IF(AND(ISNUMBER(N34),ISNUMBER(L34),L34&gt;0),ROUND(N34/L34,2),"")</f>
        <v/>
      </c>
      <c r="N34" s="6">
        <v>14649</v>
      </c>
      <c r="O34" s="7">
        <v>20926</v>
      </c>
      <c r="P34" s="8">
        <f>IF(AND(ISNUMBER(N34),ISNUMBER(O34),O34&gt;0),N34/O34,"")</f>
        <v>0.7000382299531683</v>
      </c>
      <c r="Q34" s="2" t="s">
        <v>130</v>
      </c>
      <c r="R34" s="9" t="s">
        <v>163</v>
      </c>
    </row>
    <row r="35" spans="1:18" x14ac:dyDescent="0.25">
      <c r="A35" s="2" t="s">
        <v>34</v>
      </c>
      <c r="B35" s="2" t="s">
        <v>35</v>
      </c>
      <c r="C35" s="2" t="s">
        <v>126</v>
      </c>
      <c r="D35" s="2" t="s">
        <v>164</v>
      </c>
      <c r="E35" s="2" t="s">
        <v>128</v>
      </c>
      <c r="F35" s="2" t="s">
        <v>39</v>
      </c>
      <c r="G35" s="2" t="s">
        <v>84</v>
      </c>
      <c r="H35" s="2" t="s">
        <v>55</v>
      </c>
      <c r="I35" s="3">
        <v>46303.41666666667</v>
      </c>
      <c r="J35" s="2" t="s">
        <v>42</v>
      </c>
      <c r="K35" s="2" t="s">
        <v>129</v>
      </c>
      <c r="L35" s="10" t="s">
        <v>46</v>
      </c>
      <c r="M35" s="5" t="str">
        <f>IF(AND(ISNUMBER(N35),ISNUMBER(L35),L35&gt;0),ROUND(N35/L35,2),"")</f>
        <v/>
      </c>
      <c r="N35" s="6">
        <v>19585</v>
      </c>
      <c r="O35" s="7">
        <v>27978</v>
      </c>
      <c r="P35" s="8">
        <f>IF(AND(ISNUMBER(N35),ISNUMBER(O35),O35&gt;0),N35/O35,"")</f>
        <v>0.7000142969476016</v>
      </c>
      <c r="Q35" s="2" t="s">
        <v>130</v>
      </c>
      <c r="R35" s="9" t="s">
        <v>165</v>
      </c>
    </row>
    <row r="36" spans="1:18" x14ac:dyDescent="0.25">
      <c r="A36" s="2" t="s">
        <v>34</v>
      </c>
      <c r="B36" s="2" t="s">
        <v>35</v>
      </c>
      <c r="C36" s="2" t="s">
        <v>126</v>
      </c>
      <c r="D36" s="2" t="s">
        <v>166</v>
      </c>
      <c r="E36" s="2" t="s">
        <v>128</v>
      </c>
      <c r="F36" s="2" t="s">
        <v>39</v>
      </c>
      <c r="G36" s="2" t="s">
        <v>84</v>
      </c>
      <c r="H36" s="2" t="s">
        <v>55</v>
      </c>
      <c r="I36" s="3">
        <v>46303.41666666667</v>
      </c>
      <c r="J36" s="2" t="s">
        <v>42</v>
      </c>
      <c r="K36" s="2" t="s">
        <v>129</v>
      </c>
      <c r="L36" s="10" t="s">
        <v>46</v>
      </c>
      <c r="M36" s="5" t="str">
        <f>IF(AND(ISNUMBER(N36),ISNUMBER(L36),L36&gt;0),ROUND(N36/L36,2),"")</f>
        <v/>
      </c>
      <c r="N36" s="6">
        <v>15286</v>
      </c>
      <c r="O36" s="7">
        <v>21836</v>
      </c>
      <c r="P36" s="8">
        <f>IF(AND(ISNUMBER(N36),ISNUMBER(O36),O36&gt;0),N36/O36,"")</f>
        <v>0.700036636746657</v>
      </c>
      <c r="Q36" s="2" t="s">
        <v>130</v>
      </c>
      <c r="R36" s="9" t="s">
        <v>167</v>
      </c>
    </row>
    <row r="37" spans="1:18" x14ac:dyDescent="0.25">
      <c r="A37" s="2" t="s">
        <v>34</v>
      </c>
      <c r="B37" s="2" t="s">
        <v>35</v>
      </c>
      <c r="C37" s="2" t="s">
        <v>77</v>
      </c>
      <c r="D37" s="2" t="s">
        <v>168</v>
      </c>
      <c r="E37" s="2" t="s">
        <v>169</v>
      </c>
      <c r="F37" s="2" t="s">
        <v>39</v>
      </c>
      <c r="G37" s="2" t="s">
        <v>84</v>
      </c>
      <c r="H37" s="2" t="s">
        <v>55</v>
      </c>
      <c r="I37" s="3">
        <v>46298.41666666667</v>
      </c>
      <c r="J37" s="2" t="s">
        <v>42</v>
      </c>
      <c r="K37" s="2" t="s">
        <v>61</v>
      </c>
      <c r="L37" s="10" t="s">
        <v>46</v>
      </c>
      <c r="M37" s="5" t="str">
        <f>IF(AND(ISNUMBER(N37),ISNUMBER(L37),L37&gt;0),ROUND(N37/L37,2),"")</f>
        <v/>
      </c>
      <c r="N37" s="6">
        <v>106000</v>
      </c>
      <c r="O37" s="7">
        <v>151290</v>
      </c>
      <c r="P37" s="8">
        <f>IF(AND(ISNUMBER(N37),ISNUMBER(O37),O37&gt;0),N37/O37,"")</f>
        <v>0.700641152752991</v>
      </c>
      <c r="Q37" s="2" t="s">
        <v>86</v>
      </c>
      <c r="R37" s="9" t="s">
        <v>170</v>
      </c>
    </row>
    <row r="38" spans="1:18" x14ac:dyDescent="0.25">
      <c r="A38" s="2" t="s">
        <v>34</v>
      </c>
      <c r="B38" s="2" t="s">
        <v>35</v>
      </c>
      <c r="C38" s="2" t="s">
        <v>126</v>
      </c>
      <c r="D38" s="2" t="s">
        <v>171</v>
      </c>
      <c r="E38" s="2" t="s">
        <v>128</v>
      </c>
      <c r="F38" s="2" t="s">
        <v>39</v>
      </c>
      <c r="G38" s="2" t="s">
        <v>84</v>
      </c>
      <c r="H38" s="2" t="s">
        <v>55</v>
      </c>
      <c r="I38" s="3">
        <v>46303.41666666667</v>
      </c>
      <c r="J38" s="2" t="s">
        <v>42</v>
      </c>
      <c r="K38" s="2" t="s">
        <v>129</v>
      </c>
      <c r="L38" s="10" t="s">
        <v>46</v>
      </c>
      <c r="M38" s="5" t="str">
        <f>IF(AND(ISNUMBER(N38),ISNUMBER(L38),L38&gt;0),ROUND(N38/L38,2),"")</f>
        <v/>
      </c>
      <c r="N38" s="6">
        <v>16665</v>
      </c>
      <c r="O38" s="7">
        <v>23807</v>
      </c>
      <c r="P38" s="8">
        <f>IF(AND(ISNUMBER(N38),ISNUMBER(O38),O38&gt;0),N38/O38,"")</f>
        <v>0.7000042004452472</v>
      </c>
      <c r="Q38" s="2" t="s">
        <v>130</v>
      </c>
      <c r="R38" s="9" t="s">
        <v>172</v>
      </c>
    </row>
    <row r="39" spans="1:18" x14ac:dyDescent="0.25">
      <c r="A39" s="2" t="s">
        <v>34</v>
      </c>
      <c r="B39" s="2" t="s">
        <v>35</v>
      </c>
      <c r="C39" s="2" t="s">
        <v>126</v>
      </c>
      <c r="D39" s="2" t="s">
        <v>173</v>
      </c>
      <c r="E39" s="2" t="s">
        <v>128</v>
      </c>
      <c r="F39" s="2" t="s">
        <v>39</v>
      </c>
      <c r="G39" s="2" t="s">
        <v>84</v>
      </c>
      <c r="H39" s="2" t="s">
        <v>55</v>
      </c>
      <c r="I39" s="3">
        <v>46303.41666666667</v>
      </c>
      <c r="J39" s="2" t="s">
        <v>42</v>
      </c>
      <c r="K39" s="2" t="s">
        <v>129</v>
      </c>
      <c r="L39" s="10" t="s">
        <v>46</v>
      </c>
      <c r="M39" s="5" t="str">
        <f>IF(AND(ISNUMBER(N39),ISNUMBER(L39),L39&gt;0),ROUND(N39/L39,2),"")</f>
        <v/>
      </c>
      <c r="N39" s="6">
        <v>14941</v>
      </c>
      <c r="O39" s="7">
        <v>21343</v>
      </c>
      <c r="P39" s="8">
        <f>IF(AND(ISNUMBER(N39),ISNUMBER(O39),O39&gt;0),N39/O39,"")</f>
        <v>0.7000421683924472</v>
      </c>
      <c r="Q39" s="2" t="s">
        <v>130</v>
      </c>
      <c r="R39" s="9" t="s">
        <v>174</v>
      </c>
    </row>
    <row r="40" spans="1:18" x14ac:dyDescent="0.25">
      <c r="A40" s="2" t="s">
        <v>34</v>
      </c>
      <c r="B40" s="2" t="s">
        <v>35</v>
      </c>
      <c r="C40" s="2" t="s">
        <v>126</v>
      </c>
      <c r="D40" s="2" t="s">
        <v>175</v>
      </c>
      <c r="E40" s="2" t="s">
        <v>128</v>
      </c>
      <c r="F40" s="2" t="s">
        <v>39</v>
      </c>
      <c r="G40" s="2" t="s">
        <v>84</v>
      </c>
      <c r="H40" s="2" t="s">
        <v>55</v>
      </c>
      <c r="I40" s="3">
        <v>46303.41666666667</v>
      </c>
      <c r="J40" s="2" t="s">
        <v>42</v>
      </c>
      <c r="K40" s="2" t="s">
        <v>129</v>
      </c>
      <c r="L40" s="10" t="s">
        <v>46</v>
      </c>
      <c r="M40" s="5" t="str">
        <f>IF(AND(ISNUMBER(N40),ISNUMBER(L40),L40&gt;0),ROUND(N40/L40,2),"")</f>
        <v/>
      </c>
      <c r="N40" s="6">
        <v>14649</v>
      </c>
      <c r="O40" s="7">
        <v>20926</v>
      </c>
      <c r="P40" s="8">
        <f>IF(AND(ISNUMBER(N40),ISNUMBER(O40),O40&gt;0),N40/O40,"")</f>
        <v>0.7000382299531683</v>
      </c>
      <c r="Q40" s="2" t="s">
        <v>130</v>
      </c>
      <c r="R40" s="9" t="s">
        <v>176</v>
      </c>
    </row>
    <row r="41" spans="1:18" x14ac:dyDescent="0.25">
      <c r="A41" s="2" t="s">
        <v>34</v>
      </c>
      <c r="B41" s="2" t="s">
        <v>35</v>
      </c>
      <c r="C41" s="2" t="s">
        <v>126</v>
      </c>
      <c r="D41" s="2" t="s">
        <v>177</v>
      </c>
      <c r="E41" s="2" t="s">
        <v>128</v>
      </c>
      <c r="F41" s="2" t="s">
        <v>39</v>
      </c>
      <c r="G41" s="2" t="s">
        <v>84</v>
      </c>
      <c r="H41" s="2" t="s">
        <v>55</v>
      </c>
      <c r="I41" s="3">
        <v>46303.41666666667</v>
      </c>
      <c r="J41" s="2" t="s">
        <v>42</v>
      </c>
      <c r="K41" s="2" t="s">
        <v>129</v>
      </c>
      <c r="L41" s="10" t="s">
        <v>46</v>
      </c>
      <c r="M41" s="5" t="str">
        <f>IF(AND(ISNUMBER(N41),ISNUMBER(L41),L41&gt;0),ROUND(N41/L41,2),"")</f>
        <v/>
      </c>
      <c r="N41" s="6">
        <v>14649</v>
      </c>
      <c r="O41" s="7">
        <v>20926</v>
      </c>
      <c r="P41" s="8">
        <f>IF(AND(ISNUMBER(N41),ISNUMBER(O41),O41&gt;0),N41/O41,"")</f>
        <v>0.7000382299531683</v>
      </c>
      <c r="Q41" s="2" t="s">
        <v>130</v>
      </c>
      <c r="R41" s="9" t="s">
        <v>178</v>
      </c>
    </row>
    <row r="42" spans="1:18" x14ac:dyDescent="0.25">
      <c r="A42" s="2" t="s">
        <v>34</v>
      </c>
      <c r="B42" s="2" t="s">
        <v>35</v>
      </c>
      <c r="C42" s="2" t="s">
        <v>126</v>
      </c>
      <c r="D42" s="2" t="s">
        <v>179</v>
      </c>
      <c r="E42" s="2" t="s">
        <v>128</v>
      </c>
      <c r="F42" s="2" t="s">
        <v>39</v>
      </c>
      <c r="G42" s="2" t="s">
        <v>84</v>
      </c>
      <c r="H42" s="2" t="s">
        <v>55</v>
      </c>
      <c r="I42" s="3">
        <v>46303.41666666667</v>
      </c>
      <c r="J42" s="2" t="s">
        <v>42</v>
      </c>
      <c r="K42" s="2" t="s">
        <v>129</v>
      </c>
      <c r="L42" s="10" t="s">
        <v>46</v>
      </c>
      <c r="M42" s="5" t="str">
        <f>IF(AND(ISNUMBER(N42),ISNUMBER(L42),L42&gt;0),ROUND(N42/L42,2),"")</f>
        <v/>
      </c>
      <c r="N42" s="6">
        <v>15869</v>
      </c>
      <c r="O42" s="7">
        <v>22670</v>
      </c>
      <c r="P42" s="8">
        <f>IF(AND(ISNUMBER(N42),ISNUMBER(O42),O42&gt;0),N42/O42,"")</f>
        <v>0.7</v>
      </c>
      <c r="Q42" s="2" t="s">
        <v>130</v>
      </c>
      <c r="R42" s="9" t="s">
        <v>180</v>
      </c>
    </row>
    <row r="43" spans="1:18" x14ac:dyDescent="0.25">
      <c r="A43" s="2" t="s">
        <v>34</v>
      </c>
      <c r="B43" s="2" t="s">
        <v>35</v>
      </c>
      <c r="C43" s="2" t="s">
        <v>126</v>
      </c>
      <c r="D43" s="2" t="s">
        <v>181</v>
      </c>
      <c r="E43" s="2" t="s">
        <v>128</v>
      </c>
      <c r="F43" s="2" t="s">
        <v>39</v>
      </c>
      <c r="G43" s="2" t="s">
        <v>84</v>
      </c>
      <c r="H43" s="2" t="s">
        <v>55</v>
      </c>
      <c r="I43" s="3">
        <v>46303.41666666667</v>
      </c>
      <c r="J43" s="2" t="s">
        <v>42</v>
      </c>
      <c r="K43" s="2" t="s">
        <v>129</v>
      </c>
      <c r="L43" s="10" t="s">
        <v>46</v>
      </c>
      <c r="M43" s="5" t="str">
        <f>IF(AND(ISNUMBER(N43),ISNUMBER(L43),L43&gt;0),ROUND(N43/L43,2),"")</f>
        <v/>
      </c>
      <c r="N43" s="6">
        <v>16188</v>
      </c>
      <c r="O43" s="7">
        <v>23125</v>
      </c>
      <c r="P43" s="8">
        <f>IF(AND(ISNUMBER(N43),ISNUMBER(O43),O43&gt;0),N43/O43,"")</f>
        <v>0.7000216216216216</v>
      </c>
      <c r="Q43" s="2" t="s">
        <v>130</v>
      </c>
      <c r="R43" s="9" t="s">
        <v>182</v>
      </c>
    </row>
    <row r="44" spans="1:18" x14ac:dyDescent="0.25">
      <c r="A44" s="2" t="s">
        <v>34</v>
      </c>
      <c r="B44" s="2" t="s">
        <v>35</v>
      </c>
      <c r="C44" s="2" t="s">
        <v>126</v>
      </c>
      <c r="D44" s="2" t="s">
        <v>183</v>
      </c>
      <c r="E44" s="2" t="s">
        <v>128</v>
      </c>
      <c r="F44" s="2" t="s">
        <v>39</v>
      </c>
      <c r="G44" s="2" t="s">
        <v>84</v>
      </c>
      <c r="H44" s="2" t="s">
        <v>55</v>
      </c>
      <c r="I44" s="3">
        <v>46303.41666666667</v>
      </c>
      <c r="J44" s="2" t="s">
        <v>42</v>
      </c>
      <c r="K44" s="2" t="s">
        <v>129</v>
      </c>
      <c r="L44" s="10" t="s">
        <v>46</v>
      </c>
      <c r="M44" s="5" t="str">
        <f>IF(AND(ISNUMBER(N44),ISNUMBER(L44),L44&gt;0),ROUND(N44/L44,2),"")</f>
        <v/>
      </c>
      <c r="N44" s="6">
        <v>16188</v>
      </c>
      <c r="O44" s="7">
        <v>23125</v>
      </c>
      <c r="P44" s="8">
        <f>IF(AND(ISNUMBER(N44),ISNUMBER(O44),O44&gt;0),N44/O44,"")</f>
        <v>0.7000216216216216</v>
      </c>
      <c r="Q44" s="2" t="s">
        <v>130</v>
      </c>
      <c r="R44" s="9" t="s">
        <v>184</v>
      </c>
    </row>
    <row r="45" spans="1:18" x14ac:dyDescent="0.25">
      <c r="A45" s="2" t="s">
        <v>34</v>
      </c>
      <c r="B45" s="2" t="s">
        <v>35</v>
      </c>
      <c r="C45" s="2" t="s">
        <v>126</v>
      </c>
      <c r="D45" s="2" t="s">
        <v>185</v>
      </c>
      <c r="E45" s="2" t="s">
        <v>128</v>
      </c>
      <c r="F45" s="2" t="s">
        <v>39</v>
      </c>
      <c r="G45" s="2" t="s">
        <v>84</v>
      </c>
      <c r="H45" s="2" t="s">
        <v>55</v>
      </c>
      <c r="I45" s="3">
        <v>46303.41666666667</v>
      </c>
      <c r="J45" s="2" t="s">
        <v>42</v>
      </c>
      <c r="K45" s="2" t="s">
        <v>129</v>
      </c>
      <c r="L45" s="10" t="s">
        <v>46</v>
      </c>
      <c r="M45" s="5" t="str">
        <f>IF(AND(ISNUMBER(N45),ISNUMBER(L45),L45&gt;0),ROUND(N45/L45,2),"")</f>
        <v/>
      </c>
      <c r="N45" s="6">
        <v>15869</v>
      </c>
      <c r="O45" s="7">
        <v>22670</v>
      </c>
      <c r="P45" s="8">
        <f>IF(AND(ISNUMBER(N45),ISNUMBER(O45),O45&gt;0),N45/O45,"")</f>
        <v>0.7</v>
      </c>
      <c r="Q45" s="2" t="s">
        <v>130</v>
      </c>
      <c r="R45" s="9" t="s">
        <v>186</v>
      </c>
    </row>
    <row r="46" spans="1:18" x14ac:dyDescent="0.25">
      <c r="A46" s="2" t="s">
        <v>34</v>
      </c>
      <c r="B46" s="2" t="s">
        <v>35</v>
      </c>
      <c r="C46" s="2" t="s">
        <v>126</v>
      </c>
      <c r="D46" s="2" t="s">
        <v>187</v>
      </c>
      <c r="E46" s="2" t="s">
        <v>128</v>
      </c>
      <c r="F46" s="2" t="s">
        <v>39</v>
      </c>
      <c r="G46" s="2" t="s">
        <v>84</v>
      </c>
      <c r="H46" s="2" t="s">
        <v>55</v>
      </c>
      <c r="I46" s="3">
        <v>46303.41666666667</v>
      </c>
      <c r="J46" s="2" t="s">
        <v>42</v>
      </c>
      <c r="K46" s="2" t="s">
        <v>129</v>
      </c>
      <c r="L46" s="10" t="s">
        <v>46</v>
      </c>
      <c r="M46" s="5" t="str">
        <f>IF(AND(ISNUMBER(N46),ISNUMBER(L46),L46&gt;0),ROUND(N46/L46,2),"")</f>
        <v/>
      </c>
      <c r="N46" s="6">
        <v>15869</v>
      </c>
      <c r="O46" s="7">
        <v>22670</v>
      </c>
      <c r="P46" s="8">
        <f>IF(AND(ISNUMBER(N46),ISNUMBER(O46),O46&gt;0),N46/O46,"")</f>
        <v>0.7</v>
      </c>
      <c r="Q46" s="2" t="s">
        <v>130</v>
      </c>
      <c r="R46" s="9" t="s">
        <v>188</v>
      </c>
    </row>
    <row r="47" spans="1:18" x14ac:dyDescent="0.25">
      <c r="A47" s="2" t="s">
        <v>34</v>
      </c>
      <c r="B47" s="2" t="s">
        <v>35</v>
      </c>
      <c r="C47" s="2" t="s">
        <v>126</v>
      </c>
      <c r="D47" s="2" t="s">
        <v>189</v>
      </c>
      <c r="E47" s="2" t="s">
        <v>128</v>
      </c>
      <c r="F47" s="2" t="s">
        <v>39</v>
      </c>
      <c r="G47" s="2" t="s">
        <v>84</v>
      </c>
      <c r="H47" s="2" t="s">
        <v>55</v>
      </c>
      <c r="I47" s="3">
        <v>46303.41666666667</v>
      </c>
      <c r="J47" s="2" t="s">
        <v>42</v>
      </c>
      <c r="K47" s="2" t="s">
        <v>129</v>
      </c>
      <c r="L47" s="10" t="s">
        <v>46</v>
      </c>
      <c r="M47" s="5" t="str">
        <f>IF(AND(ISNUMBER(N47),ISNUMBER(L47),L47&gt;0),ROUND(N47/L47,2),"")</f>
        <v/>
      </c>
      <c r="N47" s="6">
        <v>12818</v>
      </c>
      <c r="O47" s="7">
        <v>18311</v>
      </c>
      <c r="P47" s="8">
        <f>IF(AND(ISNUMBER(N47),ISNUMBER(O47),O47&gt;0),N47/O47,"")</f>
        <v>0.7000163835945606</v>
      </c>
      <c r="Q47" s="2" t="s">
        <v>130</v>
      </c>
      <c r="R47" s="9" t="s">
        <v>190</v>
      </c>
    </row>
    <row r="48" spans="1:18" x14ac:dyDescent="0.25">
      <c r="A48" s="2" t="s">
        <v>34</v>
      </c>
      <c r="B48" s="2" t="s">
        <v>35</v>
      </c>
      <c r="C48" s="2" t="s">
        <v>191</v>
      </c>
      <c r="D48" s="2" t="s">
        <v>192</v>
      </c>
      <c r="E48" s="2" t="s">
        <v>193</v>
      </c>
      <c r="F48" s="2" t="s">
        <v>39</v>
      </c>
      <c r="G48" s="2" t="s">
        <v>84</v>
      </c>
      <c r="H48" s="2" t="s">
        <v>55</v>
      </c>
      <c r="I48" s="3">
        <v>46297.41666666667</v>
      </c>
      <c r="J48" s="2" t="s">
        <v>42</v>
      </c>
      <c r="K48" s="2" t="s">
        <v>56</v>
      </c>
      <c r="L48" s="4">
        <v>133.23</v>
      </c>
      <c r="M48" s="5">
        <f>IF(AND(ISNUMBER(N48),ISNUMBER(L48),L48&gt;0),ROUND(N48/L48,2),"")</f>
        <v>1976.28</v>
      </c>
      <c r="N48" s="6">
        <v>263300</v>
      </c>
      <c r="O48" s="7">
        <v>376041.81</v>
      </c>
      <c r="P48" s="8">
        <f>IF(AND(ISNUMBER(N48),ISNUMBER(O48),O48&gt;0),N48/O48,"")</f>
        <v>0.7001880987648688</v>
      </c>
      <c r="Q48" s="9" t="s">
        <v>7</v>
      </c>
      <c r="R48" s="9" t="s">
        <v>194</v>
      </c>
    </row>
    <row r="49" spans="1:18" x14ac:dyDescent="0.25">
      <c r="A49" s="2" t="s">
        <v>34</v>
      </c>
      <c r="B49" s="2" t="s">
        <v>35</v>
      </c>
      <c r="C49" s="2" t="s">
        <v>191</v>
      </c>
      <c r="D49" s="2" t="s">
        <v>195</v>
      </c>
      <c r="E49" s="2" t="s">
        <v>196</v>
      </c>
      <c r="F49" s="2" t="s">
        <v>39</v>
      </c>
      <c r="G49" s="2" t="s">
        <v>84</v>
      </c>
      <c r="H49" s="2" t="s">
        <v>55</v>
      </c>
      <c r="I49" s="3">
        <v>46303.41666666667</v>
      </c>
      <c r="J49" s="2" t="s">
        <v>42</v>
      </c>
      <c r="K49" s="2" t="s">
        <v>56</v>
      </c>
      <c r="L49" s="4">
        <v>126.08</v>
      </c>
      <c r="M49" s="5">
        <f>IF(AND(ISNUMBER(N49),ISNUMBER(L49),L49&gt;0),ROUND(N49/L49,2),"")</f>
        <v>2538.07</v>
      </c>
      <c r="N49" s="6">
        <v>320000</v>
      </c>
      <c r="O49" s="7">
        <v>451490.95</v>
      </c>
      <c r="P49" s="8">
        <f>IF(AND(ISNUMBER(N49),ISNUMBER(O49),O49&gt;0),N49/O49,"")</f>
        <v>0.7087628223777243</v>
      </c>
      <c r="Q49" s="9" t="s">
        <v>7</v>
      </c>
      <c r="R49" s="9" t="s">
        <v>197</v>
      </c>
    </row>
    <row r="50" spans="1:18" x14ac:dyDescent="0.25">
      <c r="A50" s="2" t="s">
        <v>34</v>
      </c>
      <c r="B50" s="2" t="s">
        <v>35</v>
      </c>
      <c r="C50" s="2" t="s">
        <v>198</v>
      </c>
      <c r="D50" s="2" t="s">
        <v>199</v>
      </c>
      <c r="E50" s="2" t="s">
        <v>200</v>
      </c>
      <c r="F50" s="2" t="s">
        <v>39</v>
      </c>
      <c r="G50" s="2" t="s">
        <v>84</v>
      </c>
      <c r="H50" s="2" t="s">
        <v>68</v>
      </c>
      <c r="I50" s="3">
        <v>46283.41666666667</v>
      </c>
      <c r="J50" s="2" t="s">
        <v>42</v>
      </c>
      <c r="K50" s="2" t="s">
        <v>69</v>
      </c>
      <c r="L50" s="4">
        <v>130.26</v>
      </c>
      <c r="M50" s="5">
        <f>IF(AND(ISNUMBER(N50),ISNUMBER(L50),L50&gt;0),ROUND(N50/L50,2),"")</f>
        <v>8828.5</v>
      </c>
      <c r="N50" s="6">
        <v>1150000</v>
      </c>
      <c r="O50" s="7">
        <v>1786000</v>
      </c>
      <c r="P50" s="8">
        <f>IF(AND(ISNUMBER(N50),ISNUMBER(O50),O50&gt;0),N50/O50,"")</f>
        <v>0.6438969764837627</v>
      </c>
      <c r="Q50" s="9" t="s">
        <v>7</v>
      </c>
      <c r="R50" s="9" t="s">
        <v>201</v>
      </c>
    </row>
    <row r="51" spans="1:18" x14ac:dyDescent="0.25">
      <c r="A51" s="2" t="s">
        <v>34</v>
      </c>
      <c r="B51" s="2" t="s">
        <v>35</v>
      </c>
      <c r="C51" s="2" t="s">
        <v>198</v>
      </c>
      <c r="D51" s="2" t="s">
        <v>202</v>
      </c>
      <c r="E51" s="2" t="s">
        <v>203</v>
      </c>
      <c r="F51" s="2" t="s">
        <v>39</v>
      </c>
      <c r="G51" s="2" t="s">
        <v>84</v>
      </c>
      <c r="H51" s="2" t="s">
        <v>68</v>
      </c>
      <c r="I51" s="3">
        <v>46283.41666666667</v>
      </c>
      <c r="J51" s="2" t="s">
        <v>42</v>
      </c>
      <c r="K51" s="2" t="s">
        <v>69</v>
      </c>
      <c r="L51" s="4">
        <v>88.87</v>
      </c>
      <c r="M51" s="5">
        <f>IF(AND(ISNUMBER(N51),ISNUMBER(L51),L51&gt;0),ROUND(N51/L51,2),"")</f>
        <v>4771.01</v>
      </c>
      <c r="N51" s="6">
        <v>424000</v>
      </c>
      <c r="O51" s="7">
        <v>655500</v>
      </c>
      <c r="P51" s="8">
        <f>IF(AND(ISNUMBER(N51),ISNUMBER(O51),O51&gt;0),N51/O51,"")</f>
        <v>0.6468344774980931</v>
      </c>
      <c r="Q51" s="9" t="s">
        <v>7</v>
      </c>
      <c r="R51" s="9" t="s">
        <v>204</v>
      </c>
    </row>
    <row r="52" spans="1:18" x14ac:dyDescent="0.25">
      <c r="A52" s="2" t="s">
        <v>34</v>
      </c>
      <c r="B52" s="2" t="s">
        <v>35</v>
      </c>
      <c r="C52" s="2" t="s">
        <v>205</v>
      </c>
      <c r="D52" s="2" t="s">
        <v>206</v>
      </c>
      <c r="E52" s="2" t="s">
        <v>207</v>
      </c>
      <c r="F52" s="2" t="s">
        <v>39</v>
      </c>
      <c r="G52" s="2" t="s">
        <v>84</v>
      </c>
      <c r="H52" s="2" t="s">
        <v>55</v>
      </c>
      <c r="I52" s="3">
        <v>46300.41666666667</v>
      </c>
      <c r="J52" s="2" t="s">
        <v>42</v>
      </c>
      <c r="K52" s="2" t="s">
        <v>69</v>
      </c>
      <c r="L52" s="4">
        <v>99.92</v>
      </c>
      <c r="M52" s="5">
        <f>IF(AND(ISNUMBER(N52),ISNUMBER(L52),L52&gt;0),ROUND(N52/L52,2),"")</f>
        <v>4173.34</v>
      </c>
      <c r="N52" s="6">
        <v>417000</v>
      </c>
      <c r="O52" s="7">
        <v>521100</v>
      </c>
      <c r="P52" s="8">
        <f>IF(AND(ISNUMBER(N52),ISNUMBER(O52),O52&gt;0),N52/O52,"")</f>
        <v>0.8002302820955671</v>
      </c>
      <c r="Q52" s="9" t="s">
        <v>7</v>
      </c>
      <c r="R52" s="9" t="s">
        <v>208</v>
      </c>
    </row>
  </sheetData>
  <autoFilter ref="A1:R5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32</v>
      </c>
      <c r="W1" s="1" t="s">
        <v>33</v>
      </c>
    </row>
    <row r="2" spans="1:23" x14ac:dyDescent="0.25">
      <c r="A2" s="2" t="s">
        <v>34</v>
      </c>
      <c r="B2" s="2" t="s">
        <v>81</v>
      </c>
      <c r="C2" s="2" t="s">
        <v>112</v>
      </c>
      <c r="D2" s="2" t="s">
        <v>214</v>
      </c>
      <c r="E2" s="2" t="s">
        <v>215</v>
      </c>
      <c r="F2" s="2" t="s">
        <v>39</v>
      </c>
      <c r="G2" s="2" t="s">
        <v>40</v>
      </c>
      <c r="H2" s="2" t="s">
        <v>55</v>
      </c>
      <c r="I2" s="3">
        <v>46266.41666666667</v>
      </c>
      <c r="J2" s="2" t="s">
        <v>216</v>
      </c>
      <c r="K2" s="2" t="s">
        <v>115</v>
      </c>
      <c r="L2" s="4">
        <v>143.54</v>
      </c>
      <c r="M2" s="5">
        <f>IF(AND(ISNUMBER(N2),ISNUMBER(L2),L2&gt;0),ROUND(N2/L2,2),"")</f>
        <v>6714.2</v>
      </c>
      <c r="N2" s="6">
        <v>963756</v>
      </c>
      <c r="O2" s="7">
        <v>1204695.32</v>
      </c>
      <c r="P2" s="8">
        <f>IF(AND(ISNUMBER(N2),ISNUMBER(O2),O2&gt;0),N2/O2,"")</f>
        <v>0.7999997874981368</v>
      </c>
      <c r="Q2" s="6">
        <v>1448556</v>
      </c>
      <c r="R2" s="8">
        <f>IF(AND(ISNUMBER(Q2),ISNUMBER(N2),N2&gt;0),(Q2-N2)/N2,"")</f>
        <v>0.5030318877392203</v>
      </c>
      <c r="S2" s="5">
        <f>IF(AND(ISNUMBER(Q2),ISNUMBER(L2),L2&gt;0),ROUND(Q2/L2,2),"")</f>
        <v>10091.65</v>
      </c>
      <c r="T2" s="6">
        <v>38</v>
      </c>
      <c r="U2" s="6">
        <v>8</v>
      </c>
      <c r="V2" s="9" t="s">
        <v>7</v>
      </c>
      <c r="W2" s="9" t="s">
        <v>217</v>
      </c>
    </row>
    <row r="3" spans="1:23" x14ac:dyDescent="0.25">
      <c r="A3" s="2" t="s">
        <v>34</v>
      </c>
      <c r="B3" s="2" t="s">
        <v>35</v>
      </c>
      <c r="C3" s="2" t="s">
        <v>52</v>
      </c>
      <c r="D3" s="2" t="s">
        <v>218</v>
      </c>
      <c r="E3" s="2" t="s">
        <v>219</v>
      </c>
      <c r="F3" s="2" t="s">
        <v>100</v>
      </c>
      <c r="G3" s="2" t="s">
        <v>40</v>
      </c>
      <c r="H3" s="2" t="s">
        <v>41</v>
      </c>
      <c r="I3" s="3">
        <v>46266.41666666667</v>
      </c>
      <c r="J3" s="2" t="s">
        <v>216</v>
      </c>
      <c r="K3" s="2" t="s">
        <v>69</v>
      </c>
      <c r="L3" s="4">
        <v>206.17</v>
      </c>
      <c r="M3" s="5">
        <f>IF(AND(ISNUMBER(N3),ISNUMBER(L3),L3&gt;0),ROUND(N3/L3,2),"")</f>
        <v>6499.49</v>
      </c>
      <c r="N3" s="6">
        <v>1340000</v>
      </c>
      <c r="O3" s="7">
        <v>2084612</v>
      </c>
      <c r="P3" s="8">
        <f>IF(AND(ISNUMBER(N3),ISNUMBER(O3),O3&gt;0),N3/O3,"")</f>
        <v>0.642805471713681</v>
      </c>
      <c r="Q3" s="6">
        <v>1430000</v>
      </c>
      <c r="R3" s="8">
        <f>IF(AND(ISNUMBER(Q3),ISNUMBER(N3),N3&gt;0),(Q3-N3)/N3,"")</f>
        <v>0.06716417910447761</v>
      </c>
      <c r="S3" s="5">
        <f>IF(AND(ISNUMBER(Q3),ISNUMBER(L3),L3&gt;0),ROUND(Q3/L3,2),"")</f>
        <v>6936.02</v>
      </c>
      <c r="T3" s="6">
        <v>16</v>
      </c>
      <c r="U3" s="6">
        <v>3</v>
      </c>
      <c r="V3" s="9" t="s">
        <v>7</v>
      </c>
      <c r="W3" s="9" t="s">
        <v>220</v>
      </c>
    </row>
    <row r="4" spans="1:23" x14ac:dyDescent="0.25">
      <c r="A4" s="2" t="s">
        <v>34</v>
      </c>
      <c r="B4" s="2" t="s">
        <v>81</v>
      </c>
      <c r="C4" s="2" t="s">
        <v>112</v>
      </c>
      <c r="D4" s="2" t="s">
        <v>221</v>
      </c>
      <c r="E4" s="2" t="s">
        <v>54</v>
      </c>
      <c r="F4" s="2" t="s">
        <v>100</v>
      </c>
      <c r="G4" s="2" t="s">
        <v>84</v>
      </c>
      <c r="H4" s="2" t="s">
        <v>41</v>
      </c>
      <c r="I4" s="3">
        <v>46266.43541666667</v>
      </c>
      <c r="J4" s="2" t="s">
        <v>216</v>
      </c>
      <c r="K4" s="2" t="s">
        <v>115</v>
      </c>
      <c r="L4" s="4">
        <v>21.7</v>
      </c>
      <c r="M4" s="5">
        <f>IF(AND(ISNUMBER(N4),ISNUMBER(L4),L4&gt;0),ROUND(N4/L4,2),"")</f>
        <v>1961.29</v>
      </c>
      <c r="N4" s="6">
        <v>42560</v>
      </c>
      <c r="O4" s="7">
        <v>76000</v>
      </c>
      <c r="P4" s="8">
        <f>IF(AND(ISNUMBER(N4),ISNUMBER(O4),O4&gt;0),N4/O4,"")</f>
        <v>0.56</v>
      </c>
      <c r="Q4" s="6">
        <v>50960</v>
      </c>
      <c r="R4" s="8">
        <f>IF(AND(ISNUMBER(Q4),ISNUMBER(N4),N4&gt;0),(Q4-N4)/N4,"")</f>
        <v>0.19736842105263158</v>
      </c>
      <c r="S4" s="5">
        <f>IF(AND(ISNUMBER(Q4),ISNUMBER(L4),L4&gt;0),ROUND(Q4/L4,2),"")</f>
        <v>2348.39</v>
      </c>
      <c r="T4" s="6">
        <v>30</v>
      </c>
      <c r="U4" s="6">
        <v>3</v>
      </c>
      <c r="V4" s="9" t="s">
        <v>7</v>
      </c>
      <c r="W4" s="9" t="s">
        <v>222</v>
      </c>
    </row>
    <row r="5" spans="1:23" x14ac:dyDescent="0.25">
      <c r="A5" s="2" t="s">
        <v>34</v>
      </c>
      <c r="B5" s="2" t="s">
        <v>81</v>
      </c>
      <c r="C5" s="2" t="s">
        <v>223</v>
      </c>
      <c r="D5" s="2" t="s">
        <v>224</v>
      </c>
      <c r="E5" s="2" t="s">
        <v>225</v>
      </c>
      <c r="F5" s="2" t="s">
        <v>39</v>
      </c>
      <c r="G5" s="2" t="s">
        <v>84</v>
      </c>
      <c r="H5" s="2" t="s">
        <v>55</v>
      </c>
      <c r="I5" s="3">
        <v>46266.43472222222</v>
      </c>
      <c r="J5" s="2" t="s">
        <v>216</v>
      </c>
      <c r="K5" s="2" t="s">
        <v>91</v>
      </c>
      <c r="L5" s="4">
        <v>104.94</v>
      </c>
      <c r="M5" s="5">
        <f>IF(AND(ISNUMBER(N5),ISNUMBER(L5),L5&gt;0),ROUND(N5/L5,2),"")</f>
        <v>6999.81</v>
      </c>
      <c r="N5" s="6">
        <v>734560</v>
      </c>
      <c r="O5" s="7">
        <v>918200</v>
      </c>
      <c r="P5" s="8">
        <f>IF(AND(ISNUMBER(N5),ISNUMBER(O5),O5&gt;0),N5/O5,"")</f>
        <v>0.8</v>
      </c>
      <c r="Q5" s="6">
        <v>952560</v>
      </c>
      <c r="R5" s="8">
        <f>IF(AND(ISNUMBER(Q5),ISNUMBER(N5),N5&gt;0),(Q5-N5)/N5,"")</f>
        <v>0.29677630145937706</v>
      </c>
      <c r="S5" s="5">
        <f>IF(AND(ISNUMBER(Q5),ISNUMBER(L5),L5&gt;0),ROUND(Q5/L5,2),"")</f>
        <v>9077.19</v>
      </c>
      <c r="T5" s="6">
        <v>68</v>
      </c>
      <c r="U5" s="6">
        <v>11</v>
      </c>
      <c r="V5" s="2" t="s">
        <v>124</v>
      </c>
      <c r="W5" s="9" t="s">
        <v>226</v>
      </c>
    </row>
    <row r="6" spans="1:23" x14ac:dyDescent="0.25">
      <c r="A6" s="2" t="s">
        <v>34</v>
      </c>
      <c r="B6" s="2" t="s">
        <v>81</v>
      </c>
      <c r="C6" s="2" t="s">
        <v>227</v>
      </c>
      <c r="D6" s="2" t="s">
        <v>228</v>
      </c>
      <c r="E6" s="2" t="s">
        <v>229</v>
      </c>
      <c r="F6" s="2" t="s">
        <v>100</v>
      </c>
      <c r="G6" s="2" t="s">
        <v>84</v>
      </c>
      <c r="H6" s="2" t="s">
        <v>41</v>
      </c>
      <c r="I6" s="3">
        <v>46266.42708333333</v>
      </c>
      <c r="J6" s="2" t="s">
        <v>216</v>
      </c>
      <c r="K6" s="2" t="s">
        <v>230</v>
      </c>
      <c r="L6" s="4">
        <v>111.77</v>
      </c>
      <c r="M6" s="5">
        <f>IF(AND(ISNUMBER(N6),ISNUMBER(L6),L6&gt;0),ROUND(N6/L6,2),"")</f>
        <v>4454.22</v>
      </c>
      <c r="N6" s="6">
        <v>497848</v>
      </c>
      <c r="O6" s="7">
        <v>889013</v>
      </c>
      <c r="P6" s="8">
        <f>IF(AND(ISNUMBER(N6),ISNUMBER(O6),O6&gt;0),N6/O6,"")</f>
        <v>0.5600008098869196</v>
      </c>
      <c r="Q6" s="6">
        <v>517848</v>
      </c>
      <c r="R6" s="8">
        <f>IF(AND(ISNUMBER(Q6),ISNUMBER(N6),N6&gt;0),(Q6-N6)/N6,"")</f>
        <v>0.04017290417958895</v>
      </c>
      <c r="S6" s="5">
        <f>IF(AND(ISNUMBER(Q6),ISNUMBER(L6),L6&gt;0),ROUND(Q6/L6,2),"")</f>
        <v>4633.16</v>
      </c>
      <c r="T6" s="6">
        <v>6</v>
      </c>
      <c r="U6" s="6">
        <v>2</v>
      </c>
      <c r="V6" s="2" t="s">
        <v>110</v>
      </c>
      <c r="W6" s="9" t="s">
        <v>231</v>
      </c>
    </row>
    <row r="7" spans="1:23" x14ac:dyDescent="0.25">
      <c r="A7" s="2" t="s">
        <v>34</v>
      </c>
      <c r="B7" s="2" t="s">
        <v>81</v>
      </c>
      <c r="C7" s="2" t="s">
        <v>112</v>
      </c>
      <c r="D7" s="2" t="s">
        <v>232</v>
      </c>
      <c r="E7" s="2" t="s">
        <v>233</v>
      </c>
      <c r="F7" s="2" t="s">
        <v>39</v>
      </c>
      <c r="G7" s="2" t="s">
        <v>84</v>
      </c>
      <c r="H7" s="2" t="s">
        <v>41</v>
      </c>
      <c r="I7" s="3">
        <v>46266.424305555556</v>
      </c>
      <c r="J7" s="2" t="s">
        <v>216</v>
      </c>
      <c r="K7" s="2" t="s">
        <v>115</v>
      </c>
      <c r="L7" s="4">
        <v>147.59</v>
      </c>
      <c r="M7" s="5">
        <f>IF(AND(ISNUMBER(N7),ISNUMBER(L7),L7&gt;0),ROUND(N7/L7,2),"")</f>
        <v>5517.66</v>
      </c>
      <c r="N7" s="6">
        <v>814352</v>
      </c>
      <c r="O7" s="7">
        <v>1454200</v>
      </c>
      <c r="P7" s="8">
        <f>IF(AND(ISNUMBER(N7),ISNUMBER(O7),O7&gt;0),N7/O7,"")</f>
        <v>0.56</v>
      </c>
      <c r="Q7" s="6">
        <v>994352</v>
      </c>
      <c r="R7" s="8">
        <f>IF(AND(ISNUMBER(Q7),ISNUMBER(N7),N7&gt;0),(Q7-N7)/N7,"")</f>
        <v>0.2210346385838065</v>
      </c>
      <c r="S7" s="5">
        <f>IF(AND(ISNUMBER(Q7),ISNUMBER(L7),L7&gt;0),ROUND(Q7/L7,2),"")</f>
        <v>6737.26</v>
      </c>
      <c r="T7" s="6">
        <v>45</v>
      </c>
      <c r="U7" s="6">
        <v>3</v>
      </c>
      <c r="V7" s="9" t="s">
        <v>7</v>
      </c>
      <c r="W7" s="9" t="s">
        <v>234</v>
      </c>
    </row>
    <row r="8" spans="1:23" x14ac:dyDescent="0.25">
      <c r="A8" s="2" t="s">
        <v>34</v>
      </c>
      <c r="B8" s="2" t="s">
        <v>81</v>
      </c>
      <c r="C8" s="2" t="s">
        <v>235</v>
      </c>
      <c r="D8" s="2" t="s">
        <v>236</v>
      </c>
      <c r="E8" s="2" t="s">
        <v>237</v>
      </c>
      <c r="F8" s="2" t="s">
        <v>39</v>
      </c>
      <c r="G8" s="2" t="s">
        <v>84</v>
      </c>
      <c r="H8" s="2" t="s">
        <v>55</v>
      </c>
      <c r="I8" s="3">
        <v>46266.419444444444</v>
      </c>
      <c r="J8" s="2" t="s">
        <v>216</v>
      </c>
      <c r="K8" s="2" t="s">
        <v>238</v>
      </c>
      <c r="L8" s="4">
        <v>87.18</v>
      </c>
      <c r="M8" s="5">
        <f>IF(AND(ISNUMBER(N8),ISNUMBER(L8),L8&gt;0),ROUND(N8/L8,2),"")</f>
        <v>6457.9</v>
      </c>
      <c r="N8" s="6">
        <v>563000</v>
      </c>
      <c r="O8" s="7">
        <v>801882</v>
      </c>
      <c r="P8" s="8">
        <f>IF(AND(ISNUMBER(N8),ISNUMBER(O8),O8&gt;0),N8/O8,"")</f>
        <v>0.7020983137169808</v>
      </c>
      <c r="Q8" s="6">
        <v>598000</v>
      </c>
      <c r="R8" s="8">
        <f>IF(AND(ISNUMBER(Q8),ISNUMBER(N8),N8&gt;0),(Q8-N8)/N8,"")</f>
        <v>0.06216696269982238</v>
      </c>
      <c r="S8" s="5">
        <f>IF(AND(ISNUMBER(Q8),ISNUMBER(L8),L8&gt;0),ROUND(Q8/L8,2),"")</f>
        <v>6859.37</v>
      </c>
      <c r="T8" s="6">
        <v>8</v>
      </c>
      <c r="U8" s="6">
        <v>2</v>
      </c>
      <c r="V8" s="9" t="s">
        <v>7</v>
      </c>
      <c r="W8" s="9" t="s">
        <v>239</v>
      </c>
    </row>
    <row r="9" spans="1:23" x14ac:dyDescent="0.25">
      <c r="A9" s="2" t="s">
        <v>34</v>
      </c>
      <c r="B9" s="2" t="s">
        <v>81</v>
      </c>
      <c r="C9" s="2" t="s">
        <v>93</v>
      </c>
      <c r="D9" s="2" t="s">
        <v>240</v>
      </c>
      <c r="E9" s="2" t="s">
        <v>241</v>
      </c>
      <c r="F9" s="2" t="s">
        <v>39</v>
      </c>
      <c r="G9" s="2" t="s">
        <v>84</v>
      </c>
      <c r="H9" s="2" t="s">
        <v>55</v>
      </c>
      <c r="I9" s="3">
        <v>46266.41666666667</v>
      </c>
      <c r="J9" s="2" t="s">
        <v>216</v>
      </c>
      <c r="K9" s="2" t="s">
        <v>242</v>
      </c>
      <c r="L9" s="4">
        <v>119.97</v>
      </c>
      <c r="M9" s="5">
        <f>IF(AND(ISNUMBER(N9),ISNUMBER(L9),L9&gt;0),ROUND(N9/L9,2),"")</f>
        <v>10508.46</v>
      </c>
      <c r="N9" s="6">
        <v>1260700</v>
      </c>
      <c r="O9" s="7">
        <v>1801000</v>
      </c>
      <c r="P9" s="8">
        <f>IF(AND(ISNUMBER(N9),ISNUMBER(O9),O9&gt;0),N9/O9,"")</f>
        <v>0.7</v>
      </c>
      <c r="Q9" s="6">
        <v>1260700</v>
      </c>
      <c r="R9" s="8">
        <f>IF(AND(ISNUMBER(Q9),ISNUMBER(N9),N9&gt;0),(Q9-N9)/N9,"")</f>
        <v>0</v>
      </c>
      <c r="S9" s="5">
        <f>IF(AND(ISNUMBER(Q9),ISNUMBER(L9),L9&gt;0),ROUND(Q9/L9,2),"")</f>
        <v>10508.46</v>
      </c>
      <c r="T9" s="6">
        <v>1</v>
      </c>
      <c r="U9" s="6">
        <v>1</v>
      </c>
      <c r="V9" s="2" t="s">
        <v>110</v>
      </c>
      <c r="W9" s="9" t="s">
        <v>243</v>
      </c>
    </row>
    <row r="10" spans="1:23" x14ac:dyDescent="0.25">
      <c r="A10" s="2" t="s">
        <v>34</v>
      </c>
      <c r="B10" s="2" t="s">
        <v>81</v>
      </c>
      <c r="C10" s="2" t="s">
        <v>82</v>
      </c>
      <c r="D10" s="2" t="s">
        <v>244</v>
      </c>
      <c r="E10" s="2" t="s">
        <v>245</v>
      </c>
      <c r="F10" s="2" t="s">
        <v>39</v>
      </c>
      <c r="G10" s="2" t="s">
        <v>84</v>
      </c>
      <c r="H10" s="2" t="s">
        <v>55</v>
      </c>
      <c r="I10" s="3">
        <v>46266.41666666667</v>
      </c>
      <c r="J10" s="2" t="s">
        <v>216</v>
      </c>
      <c r="K10" s="2" t="s">
        <v>246</v>
      </c>
      <c r="L10" s="4">
        <v>130.28</v>
      </c>
      <c r="M10" s="5">
        <f>IF(AND(ISNUMBER(N10),ISNUMBER(L10),L10&gt;0),ROUND(N10/L10,2),"")</f>
        <v>16119.13</v>
      </c>
      <c r="N10" s="6">
        <v>2100000</v>
      </c>
      <c r="O10" s="7">
        <v>2996440</v>
      </c>
      <c r="P10" s="8">
        <f>IF(AND(ISNUMBER(N10),ISNUMBER(O10),O10&gt;0),N10/O10,"")</f>
        <v>0.7008316535622272</v>
      </c>
      <c r="Q10" s="6">
        <v>2100000</v>
      </c>
      <c r="R10" s="8">
        <f>IF(AND(ISNUMBER(Q10),ISNUMBER(N10),N10&gt;0),(Q10-N10)/N10,"")</f>
        <v>0</v>
      </c>
      <c r="S10" s="5">
        <f>IF(AND(ISNUMBER(Q10),ISNUMBER(L10),L10&gt;0),ROUND(Q10/L10,2),"")</f>
        <v>16119.13</v>
      </c>
      <c r="T10" s="6">
        <v>1</v>
      </c>
      <c r="U10" s="6">
        <v>1</v>
      </c>
      <c r="V10" s="9" t="s">
        <v>7</v>
      </c>
      <c r="W10" s="9" t="s">
        <v>247</v>
      </c>
    </row>
    <row r="11" spans="1:23" x14ac:dyDescent="0.25">
      <c r="A11" s="2" t="s">
        <v>34</v>
      </c>
      <c r="B11" s="2" t="s">
        <v>35</v>
      </c>
      <c r="C11" s="2" t="s">
        <v>52</v>
      </c>
      <c r="D11" s="2" t="s">
        <v>248</v>
      </c>
      <c r="E11" s="2" t="s">
        <v>249</v>
      </c>
      <c r="F11" s="2" t="s">
        <v>39</v>
      </c>
      <c r="G11" s="2" t="s">
        <v>84</v>
      </c>
      <c r="H11" s="2" t="s">
        <v>55</v>
      </c>
      <c r="I11" s="3">
        <v>46266.44305555556</v>
      </c>
      <c r="J11" s="2" t="s">
        <v>216</v>
      </c>
      <c r="K11" s="2" t="s">
        <v>146</v>
      </c>
      <c r="L11" s="4">
        <v>87.5</v>
      </c>
      <c r="M11" s="5">
        <f>IF(AND(ISNUMBER(N11),ISNUMBER(L11),L11&gt;0),ROUND(N11/L11,2),"")</f>
        <v>7617.53</v>
      </c>
      <c r="N11" s="6">
        <v>666534</v>
      </c>
      <c r="O11" s="7">
        <v>952191</v>
      </c>
      <c r="P11" s="8">
        <f>IF(AND(ISNUMBER(N11),ISNUMBER(O11),O11&gt;0),N11/O11,"")</f>
        <v>0.7000003150628393</v>
      </c>
      <c r="Q11" s="6">
        <v>901534</v>
      </c>
      <c r="R11" s="8">
        <f>IF(AND(ISNUMBER(Q11),ISNUMBER(N11),N11&gt;0),(Q11-N11)/N11,"")</f>
        <v>0.35257016146213094</v>
      </c>
      <c r="S11" s="5">
        <f>IF(AND(ISNUMBER(Q11),ISNUMBER(L11),L11&gt;0),ROUND(Q11/L11,2),"")</f>
        <v>10303.25</v>
      </c>
      <c r="T11" s="6">
        <v>44</v>
      </c>
      <c r="U11" s="6">
        <v>6</v>
      </c>
      <c r="V11" s="2" t="s">
        <v>110</v>
      </c>
      <c r="W11" s="9" t="s">
        <v>250</v>
      </c>
    </row>
    <row r="12" spans="1:23" x14ac:dyDescent="0.25">
      <c r="A12" s="2" t="s">
        <v>34</v>
      </c>
      <c r="B12" s="2" t="s">
        <v>35</v>
      </c>
      <c r="C12" s="2" t="s">
        <v>52</v>
      </c>
      <c r="D12" s="2" t="s">
        <v>251</v>
      </c>
      <c r="E12" s="2" t="s">
        <v>252</v>
      </c>
      <c r="F12" s="2" t="s">
        <v>39</v>
      </c>
      <c r="G12" s="2" t="s">
        <v>84</v>
      </c>
      <c r="H12" s="2" t="s">
        <v>41</v>
      </c>
      <c r="I12" s="3">
        <v>46266.41666666667</v>
      </c>
      <c r="J12" s="2" t="s">
        <v>216</v>
      </c>
      <c r="K12" s="2" t="s">
        <v>146</v>
      </c>
      <c r="L12" s="4">
        <v>46.51</v>
      </c>
      <c r="M12" s="5">
        <f>IF(AND(ISNUMBER(N12),ISNUMBER(L12),L12&gt;0),ROUND(N12/L12,2),"")</f>
        <v>4928.9</v>
      </c>
      <c r="N12" s="6">
        <v>229243</v>
      </c>
      <c r="O12" s="7">
        <v>409361</v>
      </c>
      <c r="P12" s="8">
        <f>IF(AND(ISNUMBER(N12),ISNUMBER(O12),O12&gt;0),N12/O12,"")</f>
        <v>0.5600020519785714</v>
      </c>
      <c r="Q12" s="6">
        <v>229243</v>
      </c>
      <c r="R12" s="8">
        <f>IF(AND(ISNUMBER(Q12),ISNUMBER(N12),N12&gt;0),(Q12-N12)/N12,"")</f>
        <v>0</v>
      </c>
      <c r="S12" s="5">
        <f>IF(AND(ISNUMBER(Q12),ISNUMBER(L12),L12&gt;0),ROUND(Q12/L12,2),"")</f>
        <v>4928.9</v>
      </c>
      <c r="T12" s="6">
        <v>1</v>
      </c>
      <c r="U12" s="6">
        <v>1</v>
      </c>
      <c r="V12" s="2" t="s">
        <v>253</v>
      </c>
      <c r="W12" s="9" t="s">
        <v>254</v>
      </c>
    </row>
    <row r="13" spans="1:23" x14ac:dyDescent="0.25">
      <c r="A13" s="2" t="s">
        <v>34</v>
      </c>
      <c r="B13" s="2" t="s">
        <v>35</v>
      </c>
      <c r="C13" s="2" t="s">
        <v>52</v>
      </c>
      <c r="D13" s="2" t="s">
        <v>255</v>
      </c>
      <c r="E13" s="2" t="s">
        <v>256</v>
      </c>
      <c r="F13" s="2" t="s">
        <v>39</v>
      </c>
      <c r="G13" s="2" t="s">
        <v>84</v>
      </c>
      <c r="H13" s="2" t="s">
        <v>41</v>
      </c>
      <c r="I13" s="3">
        <v>46266.41666666667</v>
      </c>
      <c r="J13" s="2" t="s">
        <v>216</v>
      </c>
      <c r="K13" s="2" t="s">
        <v>146</v>
      </c>
      <c r="L13" s="4">
        <v>117.87</v>
      </c>
      <c r="M13" s="5">
        <f>IF(AND(ISNUMBER(N13),ISNUMBER(L13),L13&gt;0),ROUND(N13/L13,2),"")</f>
        <v>4610.27</v>
      </c>
      <c r="N13" s="6">
        <v>543412</v>
      </c>
      <c r="O13" s="7">
        <v>970376</v>
      </c>
      <c r="P13" s="8">
        <f>IF(AND(ISNUMBER(N13),ISNUMBER(O13),O13&gt;0),N13/O13,"")</f>
        <v>0.5600014839608564</v>
      </c>
      <c r="Q13" s="6">
        <v>543412</v>
      </c>
      <c r="R13" s="8">
        <f>IF(AND(ISNUMBER(Q13),ISNUMBER(N13),N13&gt;0),(Q13-N13)/N13,"")</f>
        <v>0</v>
      </c>
      <c r="S13" s="5">
        <f>IF(AND(ISNUMBER(Q13),ISNUMBER(L13),L13&gt;0),ROUND(Q13/L13,2),"")</f>
        <v>4610.27</v>
      </c>
      <c r="T13" s="6">
        <v>1</v>
      </c>
      <c r="U13" s="6">
        <v>1</v>
      </c>
      <c r="V13" s="2" t="s">
        <v>124</v>
      </c>
      <c r="W13" s="9" t="s">
        <v>257</v>
      </c>
    </row>
    <row r="14" spans="1:23" x14ac:dyDescent="0.25">
      <c r="A14" s="2" t="s">
        <v>34</v>
      </c>
      <c r="B14" s="2" t="s">
        <v>35</v>
      </c>
      <c r="C14" s="2" t="s">
        <v>191</v>
      </c>
      <c r="D14" s="2" t="s">
        <v>258</v>
      </c>
      <c r="E14" s="2" t="s">
        <v>259</v>
      </c>
      <c r="F14" s="2" t="s">
        <v>39</v>
      </c>
      <c r="G14" s="2" t="s">
        <v>84</v>
      </c>
      <c r="H14" s="2" t="s">
        <v>55</v>
      </c>
      <c r="I14" s="3">
        <v>46266.41666666667</v>
      </c>
      <c r="J14" s="2" t="s">
        <v>216</v>
      </c>
      <c r="K14" s="2" t="s">
        <v>56</v>
      </c>
      <c r="L14" s="4">
        <v>49.77</v>
      </c>
      <c r="M14" s="5">
        <f>IF(AND(ISNUMBER(N14),ISNUMBER(L14),L14&gt;0),ROUND(N14/L14,2),"")</f>
        <v>2200.12</v>
      </c>
      <c r="N14" s="6">
        <v>109500</v>
      </c>
      <c r="O14" s="7">
        <v>156424.79</v>
      </c>
      <c r="P14" s="8">
        <f>IF(AND(ISNUMBER(N14),ISNUMBER(O14),O14&gt;0),N14/O14,"")</f>
        <v>0.7000169218702483</v>
      </c>
      <c r="Q14" s="6">
        <v>109500</v>
      </c>
      <c r="R14" s="8">
        <f>IF(AND(ISNUMBER(Q14),ISNUMBER(N14),N14&gt;0),(Q14-N14)/N14,"")</f>
        <v>0</v>
      </c>
      <c r="S14" s="5">
        <f>IF(AND(ISNUMBER(Q14),ISNUMBER(L14),L14&gt;0),ROUND(Q14/L14,2),"")</f>
        <v>2200.12</v>
      </c>
      <c r="T14" s="6">
        <v>1</v>
      </c>
      <c r="U14" s="6">
        <v>6</v>
      </c>
      <c r="V14" s="9" t="s">
        <v>7</v>
      </c>
      <c r="W14" s="9" t="s">
        <v>260</v>
      </c>
    </row>
  </sheetData>
  <autoFilter ref="A1:W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212</v>
      </c>
      <c r="R1" s="1" t="s">
        <v>213</v>
      </c>
      <c r="S1" s="1" t="s">
        <v>32</v>
      </c>
      <c r="T1" s="1" t="s">
        <v>33</v>
      </c>
    </row>
    <row r="2" spans="1:20" x14ac:dyDescent="0.25">
      <c r="A2" s="2" t="s">
        <v>34</v>
      </c>
      <c r="B2" s="2" t="s">
        <v>35</v>
      </c>
      <c r="C2" s="2" t="s">
        <v>77</v>
      </c>
      <c r="D2" s="2" t="s">
        <v>261</v>
      </c>
      <c r="E2" s="2" t="s">
        <v>262</v>
      </c>
      <c r="F2" s="2" t="s">
        <v>39</v>
      </c>
      <c r="G2" s="2" t="s">
        <v>40</v>
      </c>
      <c r="H2" s="2" t="s">
        <v>68</v>
      </c>
      <c r="I2" s="3">
        <v>46266.41666666667</v>
      </c>
      <c r="J2" s="2" t="s">
        <v>263</v>
      </c>
      <c r="K2" s="2" t="s">
        <v>69</v>
      </c>
      <c r="L2" s="4">
        <v>144.51</v>
      </c>
      <c r="M2" s="5">
        <f>IF(AND(ISNUMBER(N2),ISNUMBER(L2),L2&gt;0),ROUND(N2/L2,2),"")</f>
        <v>8857.52</v>
      </c>
      <c r="N2" s="6">
        <v>1280000</v>
      </c>
      <c r="O2" s="7">
        <v>1997000</v>
      </c>
      <c r="P2" s="8">
        <f>IF(AND(ISNUMBER(N2),ISNUMBER(O2),O2&gt;0),N2/O2,"")</f>
        <v>0.6409614421632449</v>
      </c>
      <c r="Q2" s="6">
        <v>0</v>
      </c>
      <c r="R2" s="6">
        <v>0</v>
      </c>
      <c r="S2" s="9" t="s">
        <v>7</v>
      </c>
      <c r="T2" s="9" t="s">
        <v>264</v>
      </c>
    </row>
    <row r="3" spans="1:20" x14ac:dyDescent="0.25">
      <c r="A3" s="2" t="s">
        <v>34</v>
      </c>
      <c r="B3" s="2" t="s">
        <v>35</v>
      </c>
      <c r="C3" s="2" t="s">
        <v>198</v>
      </c>
      <c r="D3" s="2" t="s">
        <v>265</v>
      </c>
      <c r="E3" s="2" t="s">
        <v>266</v>
      </c>
      <c r="F3" s="2" t="s">
        <v>39</v>
      </c>
      <c r="G3" s="2" t="s">
        <v>40</v>
      </c>
      <c r="H3" s="2" t="s">
        <v>41</v>
      </c>
      <c r="I3" s="3">
        <v>46266.41666666667</v>
      </c>
      <c r="J3" s="2" t="s">
        <v>263</v>
      </c>
      <c r="K3" s="2" t="s">
        <v>69</v>
      </c>
      <c r="L3" s="4">
        <v>129.48</v>
      </c>
      <c r="M3" s="5">
        <f>IF(AND(ISNUMBER(N3),ISNUMBER(L3),L3&gt;0),ROUND(N3/L3,2),"")</f>
        <v>11816.5</v>
      </c>
      <c r="N3" s="6">
        <v>1530000</v>
      </c>
      <c r="O3" s="7">
        <v>2377000</v>
      </c>
      <c r="P3" s="8">
        <f>IF(AND(ISNUMBER(N3),ISNUMBER(O3),O3&gt;0),N3/O3,"")</f>
        <v>0.6436684896928901</v>
      </c>
      <c r="Q3" s="6">
        <v>0</v>
      </c>
      <c r="R3" s="6">
        <v>0</v>
      </c>
      <c r="S3" s="9" t="s">
        <v>7</v>
      </c>
      <c r="T3" s="9" t="s">
        <v>267</v>
      </c>
    </row>
    <row r="4" spans="1:20" x14ac:dyDescent="0.25">
      <c r="A4" s="2" t="s">
        <v>34</v>
      </c>
      <c r="B4" s="2" t="s">
        <v>35</v>
      </c>
      <c r="C4" s="2" t="s">
        <v>52</v>
      </c>
      <c r="D4" s="2" t="s">
        <v>268</v>
      </c>
      <c r="E4" s="2" t="s">
        <v>269</v>
      </c>
      <c r="F4" s="2" t="s">
        <v>39</v>
      </c>
      <c r="G4" s="2" t="s">
        <v>40</v>
      </c>
      <c r="H4" s="2" t="s">
        <v>55</v>
      </c>
      <c r="I4" s="3">
        <v>46266.41666666667</v>
      </c>
      <c r="J4" s="2" t="s">
        <v>263</v>
      </c>
      <c r="K4" s="2" t="s">
        <v>69</v>
      </c>
      <c r="L4" s="4">
        <v>154.17</v>
      </c>
      <c r="M4" s="5">
        <f>IF(AND(ISNUMBER(N4),ISNUMBER(L4),L4&gt;0),ROUND(N4/L4,2),"")</f>
        <v>5928.52</v>
      </c>
      <c r="N4" s="6">
        <v>914000</v>
      </c>
      <c r="O4" s="7">
        <v>1141500</v>
      </c>
      <c r="P4" s="8">
        <f>IF(AND(ISNUMBER(N4),ISNUMBER(O4),O4&gt;0),N4/O4,"")</f>
        <v>0.8007008322382829</v>
      </c>
      <c r="Q4" s="6">
        <v>0</v>
      </c>
      <c r="R4" s="6">
        <v>0</v>
      </c>
      <c r="S4" s="9" t="s">
        <v>7</v>
      </c>
      <c r="T4" s="9" t="s">
        <v>270</v>
      </c>
    </row>
    <row r="5" spans="1:20" x14ac:dyDescent="0.25">
      <c r="A5" s="2" t="s">
        <v>34</v>
      </c>
      <c r="B5" s="2" t="s">
        <v>35</v>
      </c>
      <c r="C5" s="2" t="s">
        <v>77</v>
      </c>
      <c r="D5" s="2" t="s">
        <v>271</v>
      </c>
      <c r="E5" s="2" t="s">
        <v>262</v>
      </c>
      <c r="F5" s="2" t="s">
        <v>39</v>
      </c>
      <c r="G5" s="2" t="s">
        <v>40</v>
      </c>
      <c r="H5" s="2" t="s">
        <v>68</v>
      </c>
      <c r="I5" s="3">
        <v>46266.41666666667</v>
      </c>
      <c r="J5" s="2" t="s">
        <v>263</v>
      </c>
      <c r="K5" s="2" t="s">
        <v>69</v>
      </c>
      <c r="L5" s="4">
        <v>81.47</v>
      </c>
      <c r="M5" s="5">
        <f>IF(AND(ISNUMBER(N5),ISNUMBER(L5),L5&gt;0),ROUND(N5/L5,2),"")</f>
        <v>9205.84</v>
      </c>
      <c r="N5" s="6">
        <v>750000</v>
      </c>
      <c r="O5" s="7">
        <v>1161000</v>
      </c>
      <c r="P5" s="8">
        <f>IF(AND(ISNUMBER(N5),ISNUMBER(O5),O5&gt;0),N5/O5,"")</f>
        <v>0.6459948320413437</v>
      </c>
      <c r="Q5" s="6">
        <v>0</v>
      </c>
      <c r="R5" s="6">
        <v>0</v>
      </c>
      <c r="S5" s="9" t="s">
        <v>7</v>
      </c>
      <c r="T5" s="9" t="s">
        <v>272</v>
      </c>
    </row>
    <row r="6" spans="1:20" x14ac:dyDescent="0.25">
      <c r="A6" s="2" t="s">
        <v>34</v>
      </c>
      <c r="B6" s="2" t="s">
        <v>35</v>
      </c>
      <c r="C6" s="2" t="s">
        <v>77</v>
      </c>
      <c r="D6" s="2" t="s">
        <v>273</v>
      </c>
      <c r="E6" s="2" t="s">
        <v>262</v>
      </c>
      <c r="F6" s="2" t="s">
        <v>39</v>
      </c>
      <c r="G6" s="2" t="s">
        <v>40</v>
      </c>
      <c r="H6" s="2" t="s">
        <v>68</v>
      </c>
      <c r="I6" s="3">
        <v>46266.41666666667</v>
      </c>
      <c r="J6" s="2" t="s">
        <v>263</v>
      </c>
      <c r="K6" s="2" t="s">
        <v>69</v>
      </c>
      <c r="L6" s="4">
        <v>142.61</v>
      </c>
      <c r="M6" s="5">
        <f>IF(AND(ISNUMBER(N6),ISNUMBER(L6),L6&gt;0),ROUND(N6/L6,2),"")</f>
        <v>8695.04</v>
      </c>
      <c r="N6" s="6">
        <v>1240000</v>
      </c>
      <c r="O6" s="7">
        <v>1930000</v>
      </c>
      <c r="P6" s="8">
        <f>IF(AND(ISNUMBER(N6),ISNUMBER(O6),O6&gt;0),N6/O6,"")</f>
        <v>0.6424870466321243</v>
      </c>
      <c r="Q6" s="6">
        <v>0</v>
      </c>
      <c r="R6" s="6">
        <v>0</v>
      </c>
      <c r="S6" s="9" t="s">
        <v>7</v>
      </c>
      <c r="T6" s="9" t="s">
        <v>274</v>
      </c>
    </row>
    <row r="7" spans="1:20" x14ac:dyDescent="0.25">
      <c r="A7" s="2" t="s">
        <v>34</v>
      </c>
      <c r="B7" s="2" t="s">
        <v>35</v>
      </c>
      <c r="C7" s="2" t="s">
        <v>77</v>
      </c>
      <c r="D7" s="2" t="s">
        <v>275</v>
      </c>
      <c r="E7" s="2" t="s">
        <v>262</v>
      </c>
      <c r="F7" s="2" t="s">
        <v>39</v>
      </c>
      <c r="G7" s="2" t="s">
        <v>40</v>
      </c>
      <c r="H7" s="2" t="s">
        <v>68</v>
      </c>
      <c r="I7" s="3">
        <v>46266.41666666667</v>
      </c>
      <c r="J7" s="2" t="s">
        <v>263</v>
      </c>
      <c r="K7" s="2" t="s">
        <v>69</v>
      </c>
      <c r="L7" s="4">
        <v>144.65</v>
      </c>
      <c r="M7" s="5">
        <f>IF(AND(ISNUMBER(N7),ISNUMBER(L7),L7&gt;0),ROUND(N7/L7,2),"")</f>
        <v>8710.68</v>
      </c>
      <c r="N7" s="6">
        <v>1260000</v>
      </c>
      <c r="O7" s="7">
        <v>1958000</v>
      </c>
      <c r="P7" s="8">
        <f>IF(AND(ISNUMBER(N7),ISNUMBER(O7),O7&gt;0),N7/O7,"")</f>
        <v>0.6435137895812053</v>
      </c>
      <c r="Q7" s="6">
        <v>0</v>
      </c>
      <c r="R7" s="6">
        <v>0</v>
      </c>
      <c r="S7" s="9" t="s">
        <v>7</v>
      </c>
      <c r="T7" s="9" t="s">
        <v>276</v>
      </c>
    </row>
    <row r="8" spans="1:20" x14ac:dyDescent="0.25">
      <c r="A8" s="2" t="s">
        <v>34</v>
      </c>
      <c r="B8" s="2" t="s">
        <v>35</v>
      </c>
      <c r="C8" s="2" t="s">
        <v>77</v>
      </c>
      <c r="D8" s="2" t="s">
        <v>277</v>
      </c>
      <c r="E8" s="2" t="s">
        <v>278</v>
      </c>
      <c r="F8" s="2" t="s">
        <v>39</v>
      </c>
      <c r="G8" s="2" t="s">
        <v>40</v>
      </c>
      <c r="H8" s="2" t="s">
        <v>68</v>
      </c>
      <c r="I8" s="3">
        <v>46266.41666666667</v>
      </c>
      <c r="J8" s="2" t="s">
        <v>263</v>
      </c>
      <c r="K8" s="2" t="s">
        <v>61</v>
      </c>
      <c r="L8" s="4">
        <v>113.59</v>
      </c>
      <c r="M8" s="5">
        <f>IF(AND(ISNUMBER(N8),ISNUMBER(L8),L8&gt;0),ROUND(N8/L8,2),"")</f>
        <v>5944.19</v>
      </c>
      <c r="N8" s="6">
        <v>675200</v>
      </c>
      <c r="O8" s="7">
        <v>1205189.9</v>
      </c>
      <c r="P8" s="8">
        <f>IF(AND(ISNUMBER(N8),ISNUMBER(O8),O8&gt;0),N8/O8,"")</f>
        <v>0.5602436595261876</v>
      </c>
      <c r="Q8" s="6">
        <v>0</v>
      </c>
      <c r="R8" s="6">
        <v>0</v>
      </c>
      <c r="S8" s="9" t="s">
        <v>7</v>
      </c>
      <c r="T8" s="9" t="s">
        <v>279</v>
      </c>
    </row>
    <row r="9" spans="1:20" x14ac:dyDescent="0.25">
      <c r="A9" s="2" t="s">
        <v>34</v>
      </c>
      <c r="B9" s="2" t="s">
        <v>35</v>
      </c>
      <c r="C9" s="2" t="s">
        <v>52</v>
      </c>
      <c r="D9" s="2" t="s">
        <v>280</v>
      </c>
      <c r="E9" s="2" t="s">
        <v>281</v>
      </c>
      <c r="F9" s="2" t="s">
        <v>39</v>
      </c>
      <c r="G9" s="2" t="s">
        <v>40</v>
      </c>
      <c r="H9" s="2" t="s">
        <v>55</v>
      </c>
      <c r="I9" s="3">
        <v>46266.41666666667</v>
      </c>
      <c r="J9" s="2" t="s">
        <v>263</v>
      </c>
      <c r="K9" s="2" t="s">
        <v>69</v>
      </c>
      <c r="L9" s="4">
        <v>123.02</v>
      </c>
      <c r="M9" s="5">
        <f>IF(AND(ISNUMBER(N9),ISNUMBER(L9),L9&gt;0),ROUND(N9/L9,2),"")</f>
        <v>3617.3</v>
      </c>
      <c r="N9" s="6">
        <v>445000</v>
      </c>
      <c r="O9" s="7">
        <v>556300</v>
      </c>
      <c r="P9" s="8">
        <f>IF(AND(ISNUMBER(N9),ISNUMBER(O9),O9&gt;0),N9/O9,"")</f>
        <v>0.7999280963508898</v>
      </c>
      <c r="Q9" s="6">
        <v>0</v>
      </c>
      <c r="R9" s="6">
        <v>0</v>
      </c>
      <c r="S9" s="9" t="s">
        <v>7</v>
      </c>
      <c r="T9" s="9" t="s">
        <v>282</v>
      </c>
    </row>
    <row r="10" spans="1:20" x14ac:dyDescent="0.25">
      <c r="A10" s="2" t="s">
        <v>34</v>
      </c>
      <c r="B10" s="2" t="s">
        <v>35</v>
      </c>
      <c r="C10" s="2" t="s">
        <v>77</v>
      </c>
      <c r="D10" s="2" t="s">
        <v>283</v>
      </c>
      <c r="E10" s="2" t="s">
        <v>262</v>
      </c>
      <c r="F10" s="2" t="s">
        <v>39</v>
      </c>
      <c r="G10" s="2" t="s">
        <v>40</v>
      </c>
      <c r="H10" s="2" t="s">
        <v>68</v>
      </c>
      <c r="I10" s="3">
        <v>46266.41666666667</v>
      </c>
      <c r="J10" s="2" t="s">
        <v>263</v>
      </c>
      <c r="K10" s="2" t="s">
        <v>69</v>
      </c>
      <c r="L10" s="4">
        <v>119.34</v>
      </c>
      <c r="M10" s="5">
        <f>IF(AND(ISNUMBER(N10),ISNUMBER(L10),L10&gt;0),ROUND(N10/L10,2),"")</f>
        <v>9133.57</v>
      </c>
      <c r="N10" s="6">
        <v>1090000</v>
      </c>
      <c r="O10" s="7">
        <v>1700000</v>
      </c>
      <c r="P10" s="8">
        <f>IF(AND(ISNUMBER(N10),ISNUMBER(O10),O10&gt;0),N10/O10,"")</f>
        <v>0.6411764705882353</v>
      </c>
      <c r="Q10" s="6">
        <v>0</v>
      </c>
      <c r="R10" s="6">
        <v>0</v>
      </c>
      <c r="S10" s="9" t="s">
        <v>7</v>
      </c>
      <c r="T10" s="9" t="s">
        <v>284</v>
      </c>
    </row>
    <row r="11" spans="1:20" x14ac:dyDescent="0.25">
      <c r="A11" s="2" t="s">
        <v>34</v>
      </c>
      <c r="B11" s="2" t="s">
        <v>35</v>
      </c>
      <c r="C11" s="2" t="s">
        <v>58</v>
      </c>
      <c r="D11" s="2" t="s">
        <v>285</v>
      </c>
      <c r="E11" s="2" t="s">
        <v>286</v>
      </c>
      <c r="F11" s="2" t="s">
        <v>39</v>
      </c>
      <c r="G11" s="2" t="s">
        <v>40</v>
      </c>
      <c r="H11" s="2" t="s">
        <v>55</v>
      </c>
      <c r="I11" s="3">
        <v>46266.41666666667</v>
      </c>
      <c r="J11" s="2" t="s">
        <v>263</v>
      </c>
      <c r="K11" s="2" t="s">
        <v>61</v>
      </c>
      <c r="L11" s="4">
        <v>140.18</v>
      </c>
      <c r="M11" s="5">
        <f>IF(AND(ISNUMBER(N11),ISNUMBER(L11),L11&gt;0),ROUND(N11/L11,2),"")</f>
        <v>2707.52</v>
      </c>
      <c r="N11" s="6">
        <v>379540</v>
      </c>
      <c r="O11" s="7">
        <v>542200</v>
      </c>
      <c r="P11" s="8">
        <f>IF(AND(ISNUMBER(N11),ISNUMBER(O11),O11&gt;0),N11/O11,"")</f>
        <v>0.7</v>
      </c>
      <c r="Q11" s="6">
        <v>0</v>
      </c>
      <c r="R11" s="6">
        <v>0</v>
      </c>
      <c r="S11" s="2" t="s">
        <v>287</v>
      </c>
      <c r="T11" s="9" t="s">
        <v>288</v>
      </c>
    </row>
    <row r="12" spans="1:20" x14ac:dyDescent="0.25">
      <c r="A12" s="2" t="s">
        <v>34</v>
      </c>
      <c r="B12" s="2" t="s">
        <v>35</v>
      </c>
      <c r="C12" s="2" t="s">
        <v>77</v>
      </c>
      <c r="D12" s="2" t="s">
        <v>289</v>
      </c>
      <c r="E12" s="2" t="s">
        <v>262</v>
      </c>
      <c r="F12" s="2" t="s">
        <v>39</v>
      </c>
      <c r="G12" s="2" t="s">
        <v>40</v>
      </c>
      <c r="H12" s="2" t="s">
        <v>68</v>
      </c>
      <c r="I12" s="3">
        <v>46266.41666666667</v>
      </c>
      <c r="J12" s="2" t="s">
        <v>263</v>
      </c>
      <c r="K12" s="2" t="s">
        <v>69</v>
      </c>
      <c r="L12" s="4">
        <v>137.85</v>
      </c>
      <c r="M12" s="5">
        <f>IF(AND(ISNUMBER(N12),ISNUMBER(L12),L12&gt;0),ROUND(N12/L12,2),"")</f>
        <v>8850.2</v>
      </c>
      <c r="N12" s="6">
        <v>1220000</v>
      </c>
      <c r="O12" s="7">
        <v>1905000</v>
      </c>
      <c r="P12" s="8">
        <f>IF(AND(ISNUMBER(N12),ISNUMBER(O12),O12&gt;0),N12/O12,"")</f>
        <v>0.6404199475065617</v>
      </c>
      <c r="Q12" s="6">
        <v>0</v>
      </c>
      <c r="R12" s="6">
        <v>0</v>
      </c>
      <c r="S12" s="9" t="s">
        <v>7</v>
      </c>
      <c r="T12" s="9" t="s">
        <v>290</v>
      </c>
    </row>
    <row r="13" spans="1:20" x14ac:dyDescent="0.25">
      <c r="A13" s="2" t="s">
        <v>34</v>
      </c>
      <c r="B13" s="2" t="s">
        <v>35</v>
      </c>
      <c r="C13" s="2" t="s">
        <v>77</v>
      </c>
      <c r="D13" s="2" t="s">
        <v>291</v>
      </c>
      <c r="E13" s="2" t="s">
        <v>278</v>
      </c>
      <c r="F13" s="2" t="s">
        <v>39</v>
      </c>
      <c r="G13" s="2" t="s">
        <v>40</v>
      </c>
      <c r="H13" s="2" t="s">
        <v>68</v>
      </c>
      <c r="I13" s="3">
        <v>46266.41666666667</v>
      </c>
      <c r="J13" s="2" t="s">
        <v>263</v>
      </c>
      <c r="K13" s="2" t="s">
        <v>61</v>
      </c>
      <c r="L13" s="4">
        <v>116.89</v>
      </c>
      <c r="M13" s="5">
        <f>IF(AND(ISNUMBER(N13),ISNUMBER(L13),L13&gt;0),ROUND(N13/L13,2),"")</f>
        <v>5947.47</v>
      </c>
      <c r="N13" s="6">
        <v>695200</v>
      </c>
      <c r="O13" s="7">
        <v>1240202.9</v>
      </c>
      <c r="P13" s="8">
        <f>IF(AND(ISNUMBER(N13),ISNUMBER(O13),O13&gt;0),N13/O13,"")</f>
        <v>0.5605534384736562</v>
      </c>
      <c r="Q13" s="6">
        <v>0</v>
      </c>
      <c r="R13" s="6">
        <v>0</v>
      </c>
      <c r="S13" s="9" t="s">
        <v>7</v>
      </c>
      <c r="T13" s="9" t="s">
        <v>292</v>
      </c>
    </row>
    <row r="14" spans="1:20" x14ac:dyDescent="0.25">
      <c r="A14" s="2" t="s">
        <v>34</v>
      </c>
      <c r="B14" s="2" t="s">
        <v>35</v>
      </c>
      <c r="C14" s="2" t="s">
        <v>77</v>
      </c>
      <c r="D14" s="2" t="s">
        <v>293</v>
      </c>
      <c r="E14" s="2" t="s">
        <v>262</v>
      </c>
      <c r="F14" s="2" t="s">
        <v>39</v>
      </c>
      <c r="G14" s="2" t="s">
        <v>40</v>
      </c>
      <c r="H14" s="2" t="s">
        <v>68</v>
      </c>
      <c r="I14" s="3">
        <v>46266.41666666667</v>
      </c>
      <c r="J14" s="2" t="s">
        <v>263</v>
      </c>
      <c r="K14" s="2" t="s">
        <v>69</v>
      </c>
      <c r="L14" s="4">
        <v>81.47</v>
      </c>
      <c r="M14" s="5">
        <f>IF(AND(ISNUMBER(N14),ISNUMBER(L14),L14&gt;0),ROUND(N14/L14,2),"")</f>
        <v>9328.59</v>
      </c>
      <c r="N14" s="6">
        <v>760000</v>
      </c>
      <c r="O14" s="7">
        <v>1172000</v>
      </c>
      <c r="P14" s="8">
        <f>IF(AND(ISNUMBER(N14),ISNUMBER(O14),O14&gt;0),N14/O14,"")</f>
        <v>0.6484641638225256</v>
      </c>
      <c r="Q14" s="6">
        <v>0</v>
      </c>
      <c r="R14" s="6">
        <v>0</v>
      </c>
      <c r="S14" s="9" t="s">
        <v>7</v>
      </c>
      <c r="T14" s="9" t="s">
        <v>294</v>
      </c>
    </row>
    <row r="15" spans="1:20" x14ac:dyDescent="0.25">
      <c r="A15" s="2" t="s">
        <v>34</v>
      </c>
      <c r="B15" s="2" t="s">
        <v>35</v>
      </c>
      <c r="C15" s="2" t="s">
        <v>77</v>
      </c>
      <c r="D15" s="2" t="s">
        <v>295</v>
      </c>
      <c r="E15" s="2" t="s">
        <v>262</v>
      </c>
      <c r="F15" s="2" t="s">
        <v>39</v>
      </c>
      <c r="G15" s="2" t="s">
        <v>40</v>
      </c>
      <c r="H15" s="2" t="s">
        <v>68</v>
      </c>
      <c r="I15" s="3">
        <v>46266.41666666667</v>
      </c>
      <c r="J15" s="2" t="s">
        <v>263</v>
      </c>
      <c r="K15" s="2" t="s">
        <v>69</v>
      </c>
      <c r="L15" s="4">
        <v>130.09</v>
      </c>
      <c r="M15" s="5">
        <f>IF(AND(ISNUMBER(N15),ISNUMBER(L15),L15&gt;0),ROUND(N15/L15,2),"")</f>
        <v>9147.51</v>
      </c>
      <c r="N15" s="6">
        <v>1190000</v>
      </c>
      <c r="O15" s="7">
        <v>1854000</v>
      </c>
      <c r="P15" s="8">
        <f>IF(AND(ISNUMBER(N15),ISNUMBER(O15),O15&gt;0),N15/O15,"")</f>
        <v>0.6418554476806904</v>
      </c>
      <c r="Q15" s="6">
        <v>0</v>
      </c>
      <c r="R15" s="6">
        <v>0</v>
      </c>
      <c r="S15" s="9" t="s">
        <v>7</v>
      </c>
      <c r="T15" s="9" t="s">
        <v>296</v>
      </c>
    </row>
    <row r="16" spans="1:20" x14ac:dyDescent="0.25">
      <c r="A16" s="2" t="s">
        <v>34</v>
      </c>
      <c r="B16" s="2" t="s">
        <v>81</v>
      </c>
      <c r="C16" s="2" t="s">
        <v>297</v>
      </c>
      <c r="D16" s="2" t="s">
        <v>298</v>
      </c>
      <c r="E16" s="2" t="s">
        <v>299</v>
      </c>
      <c r="F16" s="2" t="s">
        <v>39</v>
      </c>
      <c r="G16" s="2" t="s">
        <v>84</v>
      </c>
      <c r="H16" s="2" t="s">
        <v>68</v>
      </c>
      <c r="I16" s="3">
        <v>46266.41666666667</v>
      </c>
      <c r="J16" s="2" t="s">
        <v>263</v>
      </c>
      <c r="K16" s="2" t="s">
        <v>300</v>
      </c>
      <c r="L16" s="4">
        <v>85.01</v>
      </c>
      <c r="M16" s="5">
        <f>IF(AND(ISNUMBER(N16),ISNUMBER(L16),L16&gt;0),ROUND(N16/L16,2),"")</f>
        <v>2586.64</v>
      </c>
      <c r="N16" s="6">
        <v>219890.18</v>
      </c>
      <c r="O16" s="7">
        <v>274862.73</v>
      </c>
      <c r="P16" s="8">
        <f>IF(AND(ISNUMBER(N16),ISNUMBER(O16),O16&gt;0),N16/O16,"")</f>
        <v>0.7999999854472813</v>
      </c>
      <c r="Q16" s="6">
        <v>0</v>
      </c>
      <c r="R16" s="6">
        <v>0</v>
      </c>
      <c r="S16" s="9" t="s">
        <v>7</v>
      </c>
      <c r="T16" s="9" t="s">
        <v>301</v>
      </c>
    </row>
    <row r="17" spans="1:20" x14ac:dyDescent="0.25">
      <c r="A17" s="2" t="s">
        <v>34</v>
      </c>
      <c r="B17" s="2" t="s">
        <v>81</v>
      </c>
      <c r="C17" s="2" t="s">
        <v>297</v>
      </c>
      <c r="D17" s="2" t="s">
        <v>302</v>
      </c>
      <c r="E17" s="2" t="s">
        <v>303</v>
      </c>
      <c r="F17" s="2" t="s">
        <v>39</v>
      </c>
      <c r="G17" s="2" t="s">
        <v>84</v>
      </c>
      <c r="H17" s="2" t="s">
        <v>68</v>
      </c>
      <c r="I17" s="3">
        <v>46266.41666666667</v>
      </c>
      <c r="J17" s="2" t="s">
        <v>263</v>
      </c>
      <c r="K17" s="2" t="s">
        <v>300</v>
      </c>
      <c r="L17" s="4">
        <v>48.47</v>
      </c>
      <c r="M17" s="5">
        <f>IF(AND(ISNUMBER(N17),ISNUMBER(L17),L17&gt;0),ROUND(N17/L17,2),"")</f>
        <v>2990.68</v>
      </c>
      <c r="N17" s="6">
        <v>144958.5</v>
      </c>
      <c r="O17" s="7">
        <v>258854.47</v>
      </c>
      <c r="P17" s="8">
        <f>IF(AND(ISNUMBER(N17),ISNUMBER(O17),O17&gt;0),N17/O17,"")</f>
        <v>0.5599999876378414</v>
      </c>
      <c r="Q17" s="6">
        <v>0</v>
      </c>
      <c r="R17" s="6">
        <v>0</v>
      </c>
      <c r="S17" s="9" t="s">
        <v>7</v>
      </c>
      <c r="T17" s="9" t="s">
        <v>304</v>
      </c>
    </row>
    <row r="18" spans="1:20" x14ac:dyDescent="0.25">
      <c r="A18" s="2" t="s">
        <v>34</v>
      </c>
      <c r="B18" s="2" t="s">
        <v>81</v>
      </c>
      <c r="C18" s="2" t="s">
        <v>102</v>
      </c>
      <c r="D18" s="2" t="s">
        <v>305</v>
      </c>
      <c r="E18" s="2" t="s">
        <v>306</v>
      </c>
      <c r="F18" s="2" t="s">
        <v>39</v>
      </c>
      <c r="G18" s="2" t="s">
        <v>84</v>
      </c>
      <c r="H18" s="2" t="s">
        <v>55</v>
      </c>
      <c r="I18" s="3">
        <v>46266.41666666667</v>
      </c>
      <c r="J18" s="2" t="s">
        <v>263</v>
      </c>
      <c r="K18" s="2" t="s">
        <v>105</v>
      </c>
      <c r="L18" s="4">
        <v>90.2</v>
      </c>
      <c r="M18" s="5">
        <f>IF(AND(ISNUMBER(N18),ISNUMBER(L18),L18&gt;0),ROUND(N18/L18,2),"")</f>
        <v>3096.4</v>
      </c>
      <c r="N18" s="6">
        <v>279295.6</v>
      </c>
      <c r="O18" s="7">
        <v>349119.5</v>
      </c>
      <c r="P18" s="8">
        <f>IF(AND(ISNUMBER(N18),ISNUMBER(O18),O18&gt;0),N18/O18,"")</f>
        <v>0.7999999999999999</v>
      </c>
      <c r="Q18" s="6">
        <v>0</v>
      </c>
      <c r="R18" s="6">
        <v>0</v>
      </c>
      <c r="S18" s="2" t="s">
        <v>307</v>
      </c>
      <c r="T18" s="9" t="s">
        <v>308</v>
      </c>
    </row>
    <row r="19" spans="1:20" x14ac:dyDescent="0.25">
      <c r="A19" s="2" t="s">
        <v>34</v>
      </c>
      <c r="B19" s="2" t="s">
        <v>81</v>
      </c>
      <c r="C19" s="2" t="s">
        <v>102</v>
      </c>
      <c r="D19" s="2" t="s">
        <v>309</v>
      </c>
      <c r="E19" s="2" t="s">
        <v>306</v>
      </c>
      <c r="F19" s="2" t="s">
        <v>39</v>
      </c>
      <c r="G19" s="2" t="s">
        <v>84</v>
      </c>
      <c r="H19" s="2" t="s">
        <v>55</v>
      </c>
      <c r="I19" s="3">
        <v>46266.41666666667</v>
      </c>
      <c r="J19" s="2" t="s">
        <v>263</v>
      </c>
      <c r="K19" s="2" t="s">
        <v>105</v>
      </c>
      <c r="L19" s="4">
        <v>137.91</v>
      </c>
      <c r="M19" s="5">
        <f>IF(AND(ISNUMBER(N19),ISNUMBER(L19),L19&gt;0),ROUND(N19/L19,2),"")</f>
        <v>2888</v>
      </c>
      <c r="N19" s="6">
        <v>398284.12</v>
      </c>
      <c r="O19" s="7">
        <v>497855.15</v>
      </c>
      <c r="P19" s="8">
        <f>IF(AND(ISNUMBER(N19),ISNUMBER(O19),O19&gt;0),N19/O19,"")</f>
        <v>0.7999999999999999</v>
      </c>
      <c r="Q19" s="6">
        <v>0</v>
      </c>
      <c r="R19" s="6">
        <v>0</v>
      </c>
      <c r="S19" s="2" t="s">
        <v>124</v>
      </c>
      <c r="T19" s="9" t="s">
        <v>310</v>
      </c>
    </row>
    <row r="20" spans="1:20" x14ac:dyDescent="0.25">
      <c r="A20" s="2" t="s">
        <v>34</v>
      </c>
      <c r="B20" s="2" t="s">
        <v>81</v>
      </c>
      <c r="C20" s="2" t="s">
        <v>102</v>
      </c>
      <c r="D20" s="2" t="s">
        <v>311</v>
      </c>
      <c r="E20" s="2" t="s">
        <v>312</v>
      </c>
      <c r="F20" s="2" t="s">
        <v>39</v>
      </c>
      <c r="G20" s="2" t="s">
        <v>84</v>
      </c>
      <c r="H20" s="2" t="s">
        <v>55</v>
      </c>
      <c r="I20" s="3">
        <v>46266.41666666667</v>
      </c>
      <c r="J20" s="2" t="s">
        <v>263</v>
      </c>
      <c r="K20" s="2" t="s">
        <v>105</v>
      </c>
      <c r="L20" s="4">
        <v>146.84</v>
      </c>
      <c r="M20" s="5">
        <f>IF(AND(ISNUMBER(N20),ISNUMBER(L20),L20&gt;0),ROUND(N20/L20,2),"")</f>
        <v>3110.05</v>
      </c>
      <c r="N20" s="6">
        <v>456680.21</v>
      </c>
      <c r="O20" s="7">
        <v>652400.3</v>
      </c>
      <c r="P20" s="8">
        <f>IF(AND(ISNUMBER(N20),ISNUMBER(O20),O20&gt;0),N20/O20,"")</f>
        <v>0.7</v>
      </c>
      <c r="Q20" s="6">
        <v>0</v>
      </c>
      <c r="R20" s="6">
        <v>0</v>
      </c>
      <c r="S20" s="2" t="s">
        <v>106</v>
      </c>
      <c r="T20" s="9" t="s">
        <v>313</v>
      </c>
    </row>
    <row r="21" spans="1:20" x14ac:dyDescent="0.25">
      <c r="A21" s="2" t="s">
        <v>34</v>
      </c>
      <c r="B21" s="2" t="s">
        <v>81</v>
      </c>
      <c r="C21" s="2" t="s">
        <v>102</v>
      </c>
      <c r="D21" s="2" t="s">
        <v>314</v>
      </c>
      <c r="E21" s="2" t="s">
        <v>315</v>
      </c>
      <c r="F21" s="2" t="s">
        <v>39</v>
      </c>
      <c r="G21" s="2" t="s">
        <v>84</v>
      </c>
      <c r="H21" s="2" t="s">
        <v>55</v>
      </c>
      <c r="I21" s="3">
        <v>46266.41666666667</v>
      </c>
      <c r="J21" s="2" t="s">
        <v>263</v>
      </c>
      <c r="K21" s="2" t="s">
        <v>105</v>
      </c>
      <c r="L21" s="4">
        <v>132.69</v>
      </c>
      <c r="M21" s="5">
        <f>IF(AND(ISNUMBER(N21),ISNUMBER(L21),L21&gt;0),ROUND(N21/L21,2),"")</f>
        <v>4699.45</v>
      </c>
      <c r="N21" s="6">
        <v>623570.23</v>
      </c>
      <c r="O21" s="7">
        <v>890814.62</v>
      </c>
      <c r="P21" s="8">
        <f>IF(AND(ISNUMBER(N21),ISNUMBER(O21),O21&gt;0),N21/O21,"")</f>
        <v>0.6999999955097279</v>
      </c>
      <c r="Q21" s="6">
        <v>0</v>
      </c>
      <c r="R21" s="6">
        <v>0</v>
      </c>
      <c r="S21" s="2" t="s">
        <v>307</v>
      </c>
      <c r="T21" s="9" t="s">
        <v>316</v>
      </c>
    </row>
    <row r="22" spans="1:20" x14ac:dyDescent="0.25">
      <c r="A22" s="2" t="s">
        <v>34</v>
      </c>
      <c r="B22" s="2" t="s">
        <v>81</v>
      </c>
      <c r="C22" s="2" t="s">
        <v>120</v>
      </c>
      <c r="D22" s="2" t="s">
        <v>317</v>
      </c>
      <c r="E22" s="2" t="s">
        <v>318</v>
      </c>
      <c r="F22" s="2" t="s">
        <v>39</v>
      </c>
      <c r="G22" s="2" t="s">
        <v>84</v>
      </c>
      <c r="H22" s="2" t="s">
        <v>55</v>
      </c>
      <c r="I22" s="3">
        <v>46266.41666666667</v>
      </c>
      <c r="J22" s="2" t="s">
        <v>263</v>
      </c>
      <c r="K22" s="2" t="s">
        <v>91</v>
      </c>
      <c r="L22" s="4">
        <v>156.73</v>
      </c>
      <c r="M22" s="5">
        <f>IF(AND(ISNUMBER(N22),ISNUMBER(L22),L22&gt;0),ROUND(N22/L22,2),"")</f>
        <v>15309.96</v>
      </c>
      <c r="N22" s="6">
        <v>2399530</v>
      </c>
      <c r="O22" s="7">
        <v>3427900</v>
      </c>
      <c r="P22" s="8">
        <f>IF(AND(ISNUMBER(N22),ISNUMBER(O22),O22&gt;0),N22/O22,"")</f>
        <v>0.7</v>
      </c>
      <c r="Q22" s="6">
        <v>0</v>
      </c>
      <c r="R22" s="6">
        <v>0</v>
      </c>
      <c r="S22" s="2" t="s">
        <v>319</v>
      </c>
      <c r="T22" s="9" t="s">
        <v>320</v>
      </c>
    </row>
    <row r="23" spans="1:20" x14ac:dyDescent="0.25">
      <c r="A23" s="2" t="s">
        <v>34</v>
      </c>
      <c r="B23" s="2" t="s">
        <v>81</v>
      </c>
      <c r="C23" s="2" t="s">
        <v>223</v>
      </c>
      <c r="D23" s="2" t="s">
        <v>321</v>
      </c>
      <c r="E23" s="2" t="s">
        <v>322</v>
      </c>
      <c r="F23" s="2" t="s">
        <v>39</v>
      </c>
      <c r="G23" s="2" t="s">
        <v>84</v>
      </c>
      <c r="H23" s="2" t="s">
        <v>55</v>
      </c>
      <c r="I23" s="3">
        <v>46266.41666666667</v>
      </c>
      <c r="J23" s="2" t="s">
        <v>263</v>
      </c>
      <c r="K23" s="2" t="s">
        <v>123</v>
      </c>
      <c r="L23" s="4">
        <v>77.2</v>
      </c>
      <c r="M23" s="5">
        <f>IF(AND(ISNUMBER(N23),ISNUMBER(L23),L23&gt;0),ROUND(N23/L23,2),"")</f>
        <v>11661.76</v>
      </c>
      <c r="N23" s="6">
        <v>900288</v>
      </c>
      <c r="O23" s="7">
        <v>1286125</v>
      </c>
      <c r="P23" s="8">
        <f>IF(AND(ISNUMBER(N23),ISNUMBER(O23),O23&gt;0),N23/O23,"")</f>
        <v>0.7000003887647002</v>
      </c>
      <c r="Q23" s="6">
        <v>0</v>
      </c>
      <c r="R23" s="6">
        <v>0</v>
      </c>
      <c r="S23" s="9" t="s">
        <v>7</v>
      </c>
      <c r="T23" s="9" t="s">
        <v>323</v>
      </c>
    </row>
    <row r="24" spans="1:20" x14ac:dyDescent="0.25">
      <c r="A24" s="2" t="s">
        <v>34</v>
      </c>
      <c r="B24" s="2" t="s">
        <v>81</v>
      </c>
      <c r="C24" s="2" t="s">
        <v>102</v>
      </c>
      <c r="D24" s="2" t="s">
        <v>324</v>
      </c>
      <c r="E24" s="2" t="s">
        <v>325</v>
      </c>
      <c r="F24" s="2" t="s">
        <v>39</v>
      </c>
      <c r="G24" s="2" t="s">
        <v>84</v>
      </c>
      <c r="H24" s="2" t="s">
        <v>55</v>
      </c>
      <c r="I24" s="3">
        <v>46266.41666666667</v>
      </c>
      <c r="J24" s="2" t="s">
        <v>263</v>
      </c>
      <c r="K24" s="2" t="s">
        <v>105</v>
      </c>
      <c r="L24" s="4">
        <v>137.57</v>
      </c>
      <c r="M24" s="5">
        <f>IF(AND(ISNUMBER(N24),ISNUMBER(L24),L24&gt;0),ROUND(N24/L24,2),"")</f>
        <v>2737</v>
      </c>
      <c r="N24" s="6">
        <v>376529.13</v>
      </c>
      <c r="O24" s="7">
        <v>537898.75</v>
      </c>
      <c r="P24" s="8">
        <f>IF(AND(ISNUMBER(N24),ISNUMBER(O24),O24&gt;0),N24/O24,"")</f>
        <v>0.7000000092954297</v>
      </c>
      <c r="Q24" s="6">
        <v>0</v>
      </c>
      <c r="R24" s="6">
        <v>0</v>
      </c>
      <c r="S24" s="2" t="s">
        <v>110</v>
      </c>
      <c r="T24" s="9" t="s">
        <v>326</v>
      </c>
    </row>
    <row r="25" spans="1:20" x14ac:dyDescent="0.25">
      <c r="A25" s="2" t="s">
        <v>34</v>
      </c>
      <c r="B25" s="2" t="s">
        <v>81</v>
      </c>
      <c r="C25" s="2" t="s">
        <v>235</v>
      </c>
      <c r="D25" s="2" t="s">
        <v>327</v>
      </c>
      <c r="E25" s="2" t="s">
        <v>328</v>
      </c>
      <c r="F25" s="2" t="s">
        <v>39</v>
      </c>
      <c r="G25" s="2" t="s">
        <v>84</v>
      </c>
      <c r="H25" s="2" t="s">
        <v>55</v>
      </c>
      <c r="I25" s="3">
        <v>46266.41666666667</v>
      </c>
      <c r="J25" s="2" t="s">
        <v>263</v>
      </c>
      <c r="K25" s="2" t="s">
        <v>238</v>
      </c>
      <c r="L25" s="4">
        <v>86.35</v>
      </c>
      <c r="M25" s="5">
        <f>IF(AND(ISNUMBER(N25),ISNUMBER(L25),L25&gt;0),ROUND(N25/L25,2),"")</f>
        <v>7295.89</v>
      </c>
      <c r="N25" s="6">
        <v>630000</v>
      </c>
      <c r="O25" s="7">
        <v>691400</v>
      </c>
      <c r="P25" s="8">
        <f>IF(AND(ISNUMBER(N25),ISNUMBER(O25),O25&gt;0),N25/O25,"")</f>
        <v>0.911194677466011</v>
      </c>
      <c r="Q25" s="6">
        <v>0</v>
      </c>
      <c r="R25" s="6">
        <v>0</v>
      </c>
      <c r="S25" s="2" t="s">
        <v>329</v>
      </c>
      <c r="T25" s="9" t="s">
        <v>330</v>
      </c>
    </row>
    <row r="26" spans="1:20" x14ac:dyDescent="0.25">
      <c r="A26" s="2" t="s">
        <v>34</v>
      </c>
      <c r="B26" s="2" t="s">
        <v>81</v>
      </c>
      <c r="C26" s="2" t="s">
        <v>227</v>
      </c>
      <c r="D26" s="2" t="s">
        <v>331</v>
      </c>
      <c r="E26" s="2" t="s">
        <v>332</v>
      </c>
      <c r="F26" s="2" t="s">
        <v>39</v>
      </c>
      <c r="G26" s="2" t="s">
        <v>84</v>
      </c>
      <c r="H26" s="2" t="s">
        <v>41</v>
      </c>
      <c r="I26" s="3">
        <v>46266.41666666667</v>
      </c>
      <c r="J26" s="2" t="s">
        <v>263</v>
      </c>
      <c r="K26" s="2" t="s">
        <v>230</v>
      </c>
      <c r="L26" s="4">
        <v>154.75</v>
      </c>
      <c r="M26" s="5">
        <f>IF(AND(ISNUMBER(N26),ISNUMBER(L26),L26&gt;0),ROUND(N26/L26,2),"")</f>
        <v>6908.54</v>
      </c>
      <c r="N26" s="6">
        <v>1069096</v>
      </c>
      <c r="O26" s="7">
        <v>1909100</v>
      </c>
      <c r="P26" s="8">
        <f>IF(AND(ISNUMBER(N26),ISNUMBER(O26),O26&gt;0),N26/O26,"")</f>
        <v>0.56</v>
      </c>
      <c r="Q26" s="6">
        <v>0</v>
      </c>
      <c r="R26" s="6">
        <v>0</v>
      </c>
      <c r="S26" s="2" t="s">
        <v>106</v>
      </c>
      <c r="T26" s="9" t="s">
        <v>333</v>
      </c>
    </row>
    <row r="27" spans="1:20" x14ac:dyDescent="0.25">
      <c r="A27" s="2" t="s">
        <v>34</v>
      </c>
      <c r="B27" s="2" t="s">
        <v>81</v>
      </c>
      <c r="C27" s="2" t="s">
        <v>227</v>
      </c>
      <c r="D27" s="2" t="s">
        <v>334</v>
      </c>
      <c r="E27" s="2" t="s">
        <v>335</v>
      </c>
      <c r="F27" s="2" t="s">
        <v>100</v>
      </c>
      <c r="G27" s="2" t="s">
        <v>84</v>
      </c>
      <c r="H27" s="2" t="s">
        <v>41</v>
      </c>
      <c r="I27" s="3">
        <v>46266.41666666667</v>
      </c>
      <c r="J27" s="2" t="s">
        <v>263</v>
      </c>
      <c r="K27" s="2" t="s">
        <v>230</v>
      </c>
      <c r="L27" s="4">
        <v>176.13</v>
      </c>
      <c r="M27" s="5">
        <f>IF(AND(ISNUMBER(N27),ISNUMBER(L27),L27&gt;0),ROUND(N27/L27,2),"")</f>
        <v>5744.05</v>
      </c>
      <c r="N27" s="6">
        <v>1011700</v>
      </c>
      <c r="O27" s="7">
        <v>1806500</v>
      </c>
      <c r="P27" s="8">
        <f>IF(AND(ISNUMBER(N27),ISNUMBER(O27),O27&gt;0),N27/O27,"")</f>
        <v>0.5600332133960697</v>
      </c>
      <c r="Q27" s="6">
        <v>0</v>
      </c>
      <c r="R27" s="6">
        <v>0</v>
      </c>
      <c r="S27" s="9" t="s">
        <v>7</v>
      </c>
      <c r="T27" s="9" t="s">
        <v>336</v>
      </c>
    </row>
    <row r="28" spans="1:20" x14ac:dyDescent="0.25">
      <c r="A28" s="2" t="s">
        <v>34</v>
      </c>
      <c r="B28" s="2" t="s">
        <v>81</v>
      </c>
      <c r="C28" s="2" t="s">
        <v>227</v>
      </c>
      <c r="D28" s="2" t="s">
        <v>337</v>
      </c>
      <c r="E28" s="2" t="s">
        <v>54</v>
      </c>
      <c r="F28" s="2" t="s">
        <v>39</v>
      </c>
      <c r="G28" s="2" t="s">
        <v>84</v>
      </c>
      <c r="H28" s="2" t="s">
        <v>41</v>
      </c>
      <c r="I28" s="3">
        <v>46266.41666666667</v>
      </c>
      <c r="J28" s="2" t="s">
        <v>263</v>
      </c>
      <c r="K28" s="2" t="s">
        <v>230</v>
      </c>
      <c r="L28" s="4">
        <v>994.84</v>
      </c>
      <c r="M28" s="5">
        <f>IF(AND(ISNUMBER(N28),ISNUMBER(L28),L28&gt;0),ROUND(N28/L28,2),"")</f>
        <v>1921.87</v>
      </c>
      <c r="N28" s="6">
        <v>1911952</v>
      </c>
      <c r="O28" s="7">
        <v>3414200</v>
      </c>
      <c r="P28" s="8">
        <f>IF(AND(ISNUMBER(N28),ISNUMBER(O28),O28&gt;0),N28/O28,"")</f>
        <v>0.56</v>
      </c>
      <c r="Q28" s="6">
        <v>0</v>
      </c>
      <c r="R28" s="6">
        <v>0</v>
      </c>
      <c r="S28" s="9" t="s">
        <v>7</v>
      </c>
      <c r="T28" s="9" t="s">
        <v>338</v>
      </c>
    </row>
    <row r="29" spans="1:20" x14ac:dyDescent="0.25">
      <c r="A29" s="2" t="s">
        <v>34</v>
      </c>
      <c r="B29" s="2" t="s">
        <v>35</v>
      </c>
      <c r="C29" s="2" t="s">
        <v>191</v>
      </c>
      <c r="D29" s="2" t="s">
        <v>339</v>
      </c>
      <c r="E29" s="2" t="s">
        <v>340</v>
      </c>
      <c r="F29" s="2" t="s">
        <v>39</v>
      </c>
      <c r="G29" s="2" t="s">
        <v>84</v>
      </c>
      <c r="H29" s="2" t="s">
        <v>68</v>
      </c>
      <c r="I29" s="3">
        <v>46266.41666666667</v>
      </c>
      <c r="J29" s="2" t="s">
        <v>263</v>
      </c>
      <c r="K29" s="2" t="s">
        <v>56</v>
      </c>
      <c r="L29" s="4">
        <v>301.77</v>
      </c>
      <c r="M29" s="5">
        <f>IF(AND(ISNUMBER(N29),ISNUMBER(L29),L29&gt;0),ROUND(N29/L29,2),"")</f>
        <v>1207.54</v>
      </c>
      <c r="N29" s="6">
        <v>364400</v>
      </c>
      <c r="O29" s="7">
        <v>650617</v>
      </c>
      <c r="P29" s="8">
        <f>IF(AND(ISNUMBER(N29),ISNUMBER(O29),O29&gt;0),N29/O29,"")</f>
        <v>0.5600837358999227</v>
      </c>
      <c r="Q29" s="6">
        <v>0</v>
      </c>
      <c r="R29" s="6">
        <v>0</v>
      </c>
      <c r="S29" s="9" t="s">
        <v>7</v>
      </c>
      <c r="T29" s="9" t="s">
        <v>341</v>
      </c>
    </row>
    <row r="30" spans="1:20" x14ac:dyDescent="0.25">
      <c r="A30" s="2" t="s">
        <v>34</v>
      </c>
      <c r="B30" s="2" t="s">
        <v>35</v>
      </c>
      <c r="C30" s="2" t="s">
        <v>36</v>
      </c>
      <c r="D30" s="2" t="s">
        <v>342</v>
      </c>
      <c r="E30" s="2" t="s">
        <v>38</v>
      </c>
      <c r="F30" s="2" t="s">
        <v>343</v>
      </c>
      <c r="G30" s="2" t="s">
        <v>84</v>
      </c>
      <c r="H30" s="2" t="s">
        <v>55</v>
      </c>
      <c r="I30" s="3">
        <v>46266.41666666667</v>
      </c>
      <c r="J30" s="2" t="s">
        <v>263</v>
      </c>
      <c r="K30" s="2" t="s">
        <v>43</v>
      </c>
      <c r="L30" s="4">
        <v>16765.86</v>
      </c>
      <c r="M30" s="5">
        <f>IF(AND(ISNUMBER(N30),ISNUMBER(L30),L30&gt;0),ROUND(N30/L30,2),"")</f>
        <v>4895.28</v>
      </c>
      <c r="N30" s="6">
        <v>82073600</v>
      </c>
      <c r="O30" s="7">
        <v>117247900</v>
      </c>
      <c r="P30" s="8">
        <f>IF(AND(ISNUMBER(N30),ISNUMBER(O30),O30&gt;0),N30/O30,"")</f>
        <v>0.7000005970256183</v>
      </c>
      <c r="Q30" s="6">
        <v>0</v>
      </c>
      <c r="R30" s="6">
        <v>0</v>
      </c>
      <c r="S30" s="2" t="s">
        <v>344</v>
      </c>
      <c r="T30" s="9" t="s">
        <v>345</v>
      </c>
    </row>
    <row r="31" spans="1:20" x14ac:dyDescent="0.25">
      <c r="A31" s="2" t="s">
        <v>34</v>
      </c>
      <c r="B31" s="2" t="s">
        <v>35</v>
      </c>
      <c r="C31" s="2" t="s">
        <v>77</v>
      </c>
      <c r="D31" s="2" t="s">
        <v>346</v>
      </c>
      <c r="E31" s="2" t="s">
        <v>347</v>
      </c>
      <c r="F31" s="2" t="s">
        <v>39</v>
      </c>
      <c r="G31" s="2" t="s">
        <v>84</v>
      </c>
      <c r="H31" s="2" t="s">
        <v>55</v>
      </c>
      <c r="I31" s="3">
        <v>46266.41666666667</v>
      </c>
      <c r="J31" s="2" t="s">
        <v>263</v>
      </c>
      <c r="K31" s="2" t="s">
        <v>152</v>
      </c>
      <c r="L31" s="4">
        <v>252.98</v>
      </c>
      <c r="M31" s="5">
        <f>IF(AND(ISNUMBER(N31),ISNUMBER(L31),L31&gt;0),ROUND(N31/L31,2),"")</f>
        <v>9882.2</v>
      </c>
      <c r="N31" s="6">
        <v>2500000</v>
      </c>
      <c r="O31" s="7">
        <v>3563452</v>
      </c>
      <c r="P31" s="8">
        <f>IF(AND(ISNUMBER(N31),ISNUMBER(O31),O31&gt;0),N31/O31,"")</f>
        <v>0.701566907594097</v>
      </c>
      <c r="Q31" s="6">
        <v>0</v>
      </c>
      <c r="R31" s="6">
        <v>0</v>
      </c>
      <c r="S31" s="9" t="s">
        <v>7</v>
      </c>
      <c r="T31" s="9" t="s">
        <v>348</v>
      </c>
    </row>
    <row r="32" spans="1:20" x14ac:dyDescent="0.25">
      <c r="A32" s="2" t="s">
        <v>34</v>
      </c>
      <c r="B32" s="2" t="s">
        <v>35</v>
      </c>
      <c r="C32" s="2" t="s">
        <v>191</v>
      </c>
      <c r="D32" s="2" t="s">
        <v>349</v>
      </c>
      <c r="E32" s="2" t="s">
        <v>350</v>
      </c>
      <c r="F32" s="2" t="s">
        <v>343</v>
      </c>
      <c r="G32" s="2" t="s">
        <v>84</v>
      </c>
      <c r="H32" s="2" t="s">
        <v>55</v>
      </c>
      <c r="I32" s="3">
        <v>46266.41666666667</v>
      </c>
      <c r="J32" s="2" t="s">
        <v>263</v>
      </c>
      <c r="K32" s="2" t="s">
        <v>56</v>
      </c>
      <c r="L32" s="4">
        <v>115.49</v>
      </c>
      <c r="M32" s="5">
        <f>IF(AND(ISNUMBER(N32),ISNUMBER(L32),L32&gt;0),ROUND(N32/L32,2),"")</f>
        <v>2679.45</v>
      </c>
      <c r="N32" s="6">
        <v>309449.28</v>
      </c>
      <c r="O32" s="7">
        <v>442070.4</v>
      </c>
      <c r="P32" s="8">
        <f>IF(AND(ISNUMBER(N32),ISNUMBER(O32),O32&gt;0),N32/O32,"")</f>
        <v>0.7000000000000001</v>
      </c>
      <c r="Q32" s="6">
        <v>0</v>
      </c>
      <c r="R32" s="6">
        <v>0</v>
      </c>
      <c r="S32" s="9" t="s">
        <v>7</v>
      </c>
      <c r="T32" s="9" t="s">
        <v>351</v>
      </c>
    </row>
    <row r="33" spans="1:20" x14ac:dyDescent="0.25">
      <c r="A33" s="2" t="s">
        <v>34</v>
      </c>
      <c r="B33" s="2" t="s">
        <v>35</v>
      </c>
      <c r="C33" s="2" t="s">
        <v>36</v>
      </c>
      <c r="D33" s="2" t="s">
        <v>352</v>
      </c>
      <c r="E33" s="2" t="s">
        <v>38</v>
      </c>
      <c r="F33" s="2" t="s">
        <v>343</v>
      </c>
      <c r="G33" s="2" t="s">
        <v>84</v>
      </c>
      <c r="H33" s="2" t="s">
        <v>55</v>
      </c>
      <c r="I33" s="3">
        <v>46266.41666666667</v>
      </c>
      <c r="J33" s="2" t="s">
        <v>263</v>
      </c>
      <c r="K33" s="2" t="s">
        <v>43</v>
      </c>
      <c r="L33" s="4">
        <v>3054.41</v>
      </c>
      <c r="M33" s="5">
        <f>IF(AND(ISNUMBER(N33),ISNUMBER(L33),L33&gt;0),ROUND(N33/L33,2),"")</f>
        <v>6006.72</v>
      </c>
      <c r="N33" s="6">
        <v>18347000</v>
      </c>
      <c r="O33" s="7">
        <v>26209900</v>
      </c>
      <c r="P33" s="8">
        <f>IF(AND(ISNUMBER(N33),ISNUMBER(O33),O33&gt;0),N33/O33,"")</f>
        <v>0.70000267074655</v>
      </c>
      <c r="Q33" s="6">
        <v>0</v>
      </c>
      <c r="R33" s="6">
        <v>0</v>
      </c>
      <c r="S33" s="9" t="s">
        <v>7</v>
      </c>
      <c r="T33" s="9" t="s">
        <v>353</v>
      </c>
    </row>
    <row r="34" spans="1:20" x14ac:dyDescent="0.25">
      <c r="A34" s="2" t="s">
        <v>34</v>
      </c>
      <c r="B34" s="2" t="s">
        <v>35</v>
      </c>
      <c r="C34" s="2" t="s">
        <v>36</v>
      </c>
      <c r="D34" s="2" t="s">
        <v>354</v>
      </c>
      <c r="E34" s="2" t="s">
        <v>355</v>
      </c>
      <c r="F34" s="2" t="s">
        <v>39</v>
      </c>
      <c r="G34" s="2" t="s">
        <v>84</v>
      </c>
      <c r="H34" s="2" t="s">
        <v>55</v>
      </c>
      <c r="I34" s="3">
        <v>46266.41666666667</v>
      </c>
      <c r="J34" s="2" t="s">
        <v>263</v>
      </c>
      <c r="K34" s="2" t="s">
        <v>356</v>
      </c>
      <c r="L34" s="4">
        <v>142.84</v>
      </c>
      <c r="M34" s="5">
        <f>IF(AND(ISNUMBER(N34),ISNUMBER(L34),L34&gt;0),ROUND(N34/L34,2),"")</f>
        <v>12111.45</v>
      </c>
      <c r="N34" s="6">
        <v>1730000</v>
      </c>
      <c r="O34" s="7">
        <v>1923442</v>
      </c>
      <c r="P34" s="8">
        <f>IF(AND(ISNUMBER(N34),ISNUMBER(O34),O34&gt;0),N34/O34,"")</f>
        <v>0.8994292523507338</v>
      </c>
      <c r="Q34" s="6">
        <v>0</v>
      </c>
      <c r="R34" s="6">
        <v>0</v>
      </c>
      <c r="S34" s="2" t="s">
        <v>106</v>
      </c>
      <c r="T34" s="9" t="s">
        <v>357</v>
      </c>
    </row>
    <row r="35" spans="1:20" x14ac:dyDescent="0.25">
      <c r="A35" s="2" t="s">
        <v>34</v>
      </c>
      <c r="B35" s="2" t="s">
        <v>35</v>
      </c>
      <c r="C35" s="2" t="s">
        <v>198</v>
      </c>
      <c r="D35" s="2" t="s">
        <v>358</v>
      </c>
      <c r="E35" s="2" t="s">
        <v>359</v>
      </c>
      <c r="F35" s="2" t="s">
        <v>39</v>
      </c>
      <c r="G35" s="2" t="s">
        <v>84</v>
      </c>
      <c r="H35" s="2" t="s">
        <v>55</v>
      </c>
      <c r="I35" s="3">
        <v>46266.41666666667</v>
      </c>
      <c r="J35" s="2" t="s">
        <v>263</v>
      </c>
      <c r="K35" s="2" t="s">
        <v>152</v>
      </c>
      <c r="L35" s="4">
        <v>90.1</v>
      </c>
      <c r="M35" s="5">
        <f>IF(AND(ISNUMBER(N35),ISNUMBER(L35),L35&gt;0),ROUND(N35/L35,2),"")</f>
        <v>5993.34</v>
      </c>
      <c r="N35" s="6">
        <v>540000</v>
      </c>
      <c r="O35" s="7">
        <v>540000</v>
      </c>
      <c r="P35" s="8">
        <f>IF(AND(ISNUMBER(N35),ISNUMBER(O35),O35&gt;0),N35/O35,"")</f>
        <v>1</v>
      </c>
      <c r="Q35" s="6">
        <v>0</v>
      </c>
      <c r="R35" s="6">
        <v>0</v>
      </c>
      <c r="S35" s="9" t="s">
        <v>7</v>
      </c>
      <c r="T35" s="9" t="s">
        <v>360</v>
      </c>
    </row>
    <row r="36" spans="1:20" x14ac:dyDescent="0.25">
      <c r="A36" s="2" t="s">
        <v>34</v>
      </c>
      <c r="B36" s="2" t="s">
        <v>35</v>
      </c>
      <c r="C36" s="2" t="s">
        <v>191</v>
      </c>
      <c r="D36" s="2" t="s">
        <v>361</v>
      </c>
      <c r="E36" s="2" t="s">
        <v>362</v>
      </c>
      <c r="F36" s="2" t="s">
        <v>343</v>
      </c>
      <c r="G36" s="2" t="s">
        <v>84</v>
      </c>
      <c r="H36" s="2" t="s">
        <v>55</v>
      </c>
      <c r="I36" s="3">
        <v>46266.41666666667</v>
      </c>
      <c r="J36" s="2" t="s">
        <v>263</v>
      </c>
      <c r="K36" s="2" t="s">
        <v>56</v>
      </c>
      <c r="L36" s="4">
        <v>58.91</v>
      </c>
      <c r="M36" s="5">
        <f>IF(AND(ISNUMBER(N36),ISNUMBER(L36),L36&gt;0),ROUND(N36/L36,2),"")</f>
        <v>4051.94</v>
      </c>
      <c r="N36" s="6">
        <v>238700</v>
      </c>
      <c r="O36" s="7">
        <v>340926.61</v>
      </c>
      <c r="P36" s="8">
        <f>IF(AND(ISNUMBER(N36),ISNUMBER(O36),O36&gt;0),N36/O36,"")</f>
        <v>0.7001506863896603</v>
      </c>
      <c r="Q36" s="6">
        <v>0</v>
      </c>
      <c r="R36" s="6">
        <v>0</v>
      </c>
      <c r="S36" s="9" t="s">
        <v>7</v>
      </c>
      <c r="T36" s="9" t="s">
        <v>363</v>
      </c>
    </row>
    <row r="37" spans="1:20" x14ac:dyDescent="0.25">
      <c r="A37" s="2" t="s">
        <v>34</v>
      </c>
      <c r="B37" s="2" t="s">
        <v>81</v>
      </c>
      <c r="C37" s="2" t="s">
        <v>364</v>
      </c>
      <c r="D37" s="2" t="s">
        <v>365</v>
      </c>
      <c r="E37" s="2" t="s">
        <v>54</v>
      </c>
      <c r="F37" s="2" t="s">
        <v>343</v>
      </c>
      <c r="G37" s="2" t="s">
        <v>84</v>
      </c>
      <c r="H37" s="2" t="s">
        <v>55</v>
      </c>
      <c r="I37" s="3">
        <v>46266.41666666667</v>
      </c>
      <c r="J37" s="2" t="s">
        <v>263</v>
      </c>
      <c r="K37" s="2" t="s">
        <v>43</v>
      </c>
      <c r="L37" s="4">
        <v>94436.56</v>
      </c>
      <c r="M37" s="5">
        <f>IF(AND(ISNUMBER(N37),ISNUMBER(L37),L37&gt;0),ROUND(N37/L37,2),"")</f>
        <v>1151.38</v>
      </c>
      <c r="N37" s="6">
        <v>108732800</v>
      </c>
      <c r="O37" s="7">
        <v>155332500</v>
      </c>
      <c r="P37" s="8">
        <f>IF(AND(ISNUMBER(N37),ISNUMBER(O37),O37&gt;0),N37/O37,"")</f>
        <v>0.7000003218901389</v>
      </c>
      <c r="Q37" s="6">
        <v>0</v>
      </c>
      <c r="R37" s="6">
        <v>0</v>
      </c>
      <c r="S37" s="2" t="s">
        <v>366</v>
      </c>
      <c r="T37" s="9" t="s">
        <v>367</v>
      </c>
    </row>
    <row r="38" spans="1:20" x14ac:dyDescent="0.25">
      <c r="A38" s="2" t="s">
        <v>34</v>
      </c>
      <c r="B38" s="2" t="s">
        <v>35</v>
      </c>
      <c r="C38" s="2" t="s">
        <v>52</v>
      </c>
      <c r="D38" s="2" t="s">
        <v>368</v>
      </c>
      <c r="E38" s="2" t="s">
        <v>369</v>
      </c>
      <c r="F38" s="2" t="s">
        <v>39</v>
      </c>
      <c r="G38" s="2" t="s">
        <v>84</v>
      </c>
      <c r="H38" s="2" t="s">
        <v>55</v>
      </c>
      <c r="I38" s="3">
        <v>46266.41666666667</v>
      </c>
      <c r="J38" s="2" t="s">
        <v>263</v>
      </c>
      <c r="K38" s="2" t="s">
        <v>146</v>
      </c>
      <c r="L38" s="4">
        <v>44.84</v>
      </c>
      <c r="M38" s="5">
        <f>IF(AND(ISNUMBER(N38),ISNUMBER(L38),L38&gt;0),ROUND(N38/L38,2),"")</f>
        <v>5601.4</v>
      </c>
      <c r="N38" s="6">
        <v>251167</v>
      </c>
      <c r="O38" s="7">
        <v>358810</v>
      </c>
      <c r="P38" s="8">
        <f>IF(AND(ISNUMBER(N38),ISNUMBER(O38),O38&gt;0),N38/O38,"")</f>
        <v>0.7</v>
      </c>
      <c r="Q38" s="6">
        <v>0</v>
      </c>
      <c r="R38" s="6">
        <v>1</v>
      </c>
      <c r="S38" s="2" t="s">
        <v>253</v>
      </c>
      <c r="T38" s="9" t="s">
        <v>370</v>
      </c>
    </row>
    <row r="39" spans="1:20" x14ac:dyDescent="0.25">
      <c r="A39" s="2" t="s">
        <v>34</v>
      </c>
      <c r="B39" s="2" t="s">
        <v>35</v>
      </c>
      <c r="C39" s="2" t="s">
        <v>52</v>
      </c>
      <c r="D39" s="2" t="s">
        <v>371</v>
      </c>
      <c r="E39" s="2" t="s">
        <v>281</v>
      </c>
      <c r="F39" s="2" t="s">
        <v>343</v>
      </c>
      <c r="G39" s="2" t="s">
        <v>84</v>
      </c>
      <c r="H39" s="2" t="s">
        <v>41</v>
      </c>
      <c r="I39" s="3">
        <v>46266.41666666667</v>
      </c>
      <c r="J39" s="2" t="s">
        <v>263</v>
      </c>
      <c r="K39" s="2" t="s">
        <v>146</v>
      </c>
      <c r="L39" s="4">
        <v>138.36</v>
      </c>
      <c r="M39" s="5">
        <f>IF(AND(ISNUMBER(N39),ISNUMBER(L39),L39&gt;0),ROUND(N39/L39,2),"")</f>
        <v>2877.4</v>
      </c>
      <c r="N39" s="6">
        <v>398117</v>
      </c>
      <c r="O39" s="7">
        <v>710922</v>
      </c>
      <c r="P39" s="8">
        <f>IF(AND(ISNUMBER(N39),ISNUMBER(O39),O39&gt;0),N39/O39,"")</f>
        <v>0.5600009565043704</v>
      </c>
      <c r="Q39" s="6">
        <v>0</v>
      </c>
      <c r="R39" s="6">
        <v>0</v>
      </c>
      <c r="S39" s="9" t="s">
        <v>7</v>
      </c>
      <c r="T39" s="9" t="s">
        <v>372</v>
      </c>
    </row>
  </sheetData>
  <autoFilter ref="A1:T3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2026-09-01T03:10:19Z</dcterms:created>
  <dcterms:modified xsi:type="dcterms:W3CDTF">2026-09-01T03:10:19Z</dcterms:modified>
</cp:coreProperties>
</file>