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<sst xmlns="http://schemas.openxmlformats.org/spreadsheetml/2006/main" count="2379" uniqueCount="595">
  <si>
    <t>进度项目</t>
  </si>
  <si>
    <t>当前状态</t>
  </si>
  <si>
    <t>运行状态</t>
  </si>
  <si>
    <t>已完成</t>
  </si>
  <si>
    <t>已保存记录</t>
  </si>
  <si>
    <t>失败记录</t>
  </si>
  <si>
    <t>当前平台</t>
  </si>
  <si>
    <t/>
  </si>
  <si>
    <t>当前分类</t>
  </si>
  <si>
    <t>当前标的</t>
  </si>
  <si>
    <t>全部采集、检查和排序完成</t>
  </si>
  <si>
    <t>当前链接</t>
  </si>
  <si>
    <t>最近保存</t>
  </si>
  <si>
    <t>2026-09-02T03:04:54.708Z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</si>
  <si>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</si>
  <si>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</si>
  <si>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</si>
  <si>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</si>
  <si>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</si>
  <si>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</si>
  <si>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</si>
  <si>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</si>
  <si>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</si>
  <si>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</si>
  <si>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</si>
  <si>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</si>
  <si>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</si>
  <si>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</si>
  <si>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</si>
  <si>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</si>
  <si>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</si>
  <si>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</si>
  <si>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</si>
  <si>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</si>
  <si>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</si>
  <si>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</si>
  <si>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永泰县</t>
  </si>
  <si>
    <t>葛岭镇溪南村汤口9号三迪江山水岸20号楼103复式单元</t>
  </si>
  <si>
    <t>商住小区</t>
  </si>
  <si>
    <t>住宅</t>
  </si>
  <si>
    <t>京东拍卖</t>
  </si>
  <si>
    <t>一拍</t>
  </si>
  <si>
    <t>即将开始</t>
  </si>
  <si>
    <t>福建省福州市中级人民法院</t>
  </si>
  <si>
    <t>https://paimai.jd.com/311202113</t>
  </si>
  <si>
    <t>葛岭镇溪南村汤口9号三迪江山水岸19号楼102复式单元</t>
  </si>
  <si>
    <t>https://paimai.jd.com/311202099</t>
  </si>
  <si>
    <t>葛岭镇溪南村汤口9号三迪江山水岸19号楼101复式单元</t>
  </si>
  <si>
    <t>https://paimai.jd.com/311202077</t>
  </si>
  <si>
    <t>葛岭镇溪南村汤口9号三迪江山水岸20号楼104复式单元</t>
  </si>
  <si>
    <t>https://paimai.jd.com/311202032</t>
  </si>
  <si>
    <t>葛岭镇溪南村汤口9号三迪江山水岸20号楼101复式单元</t>
  </si>
  <si>
    <t>https://paimai.jd.com/311202025</t>
  </si>
  <si>
    <t>葛岭镇溪南村汤口9号三迪江山水岸18号楼103复式单元</t>
  </si>
  <si>
    <t>https://paimai.jd.com/311202018</t>
  </si>
  <si>
    <t>葛岭镇溪南村汤口9号三迪江山水岸16号楼101复式单元</t>
  </si>
  <si>
    <t>https://paimai.jd.com/311202011</t>
  </si>
  <si>
    <t>葛岭镇溪南村汤口9号三迪江山水岸18号楼101复式单元</t>
  </si>
  <si>
    <t>https://paimai.jd.com/311202005</t>
  </si>
  <si>
    <t>葛岭镇溪南村汤口9号三迪江山水岸15号楼103复式单元</t>
  </si>
  <si>
    <t>https://paimai.jd.com/311201997</t>
  </si>
  <si>
    <t>葛岭镇溪南村汤口9号三迪江山水岸19号楼103复式单元</t>
  </si>
  <si>
    <t>https://paimai.jd.com/311201978</t>
  </si>
  <si>
    <t>葛岭镇溪南村汤口9号三迪江山水岸18号楼102复式单元</t>
  </si>
  <si>
    <t>https://paimai.jd.com/311201977</t>
  </si>
  <si>
    <t>葛岭镇溪南村汤口9号三迪江山水岸16号楼104复式单元</t>
  </si>
  <si>
    <t>https://paimai.jd.com/311201866</t>
  </si>
  <si>
    <t>葛岭镇溪南村汤口9号三迪江山水岸20号楼102复式单元</t>
  </si>
  <si>
    <t>https://paimai.jd.com/311201811</t>
  </si>
  <si>
    <t>葛岭镇溪南村汤口9号三迪江山水岸16号楼103复式单元</t>
  </si>
  <si>
    <t>https://paimai.jd.com/311201760</t>
  </si>
  <si>
    <t>葛岭镇溪南村汤口9号三迪江山水岸18号楼104复式单元</t>
  </si>
  <si>
    <t>https://paimai.jd.com/311201722</t>
  </si>
  <si>
    <t>葛岭镇溪南村汤口9号三迪江山水岸19号楼104复式单元</t>
  </si>
  <si>
    <t>https://paimai.jd.com/311201715</t>
  </si>
  <si>
    <t>葛岭镇溪南村汤口9号三迪江山水岸16号楼102复式单元</t>
  </si>
  <si>
    <t>https://paimai.jd.com/311201700</t>
  </si>
  <si>
    <t>葛岭镇溪南村汤口9号三迪江山水岸15号楼102复式单元</t>
  </si>
  <si>
    <t>https://paimai.jd.com/311201491</t>
  </si>
  <si>
    <t>葛岭镇溪南村汤口9号三迪江山水岸15号楼101复式单元</t>
  </si>
  <si>
    <t>https://paimai.jd.com/311201487</t>
  </si>
  <si>
    <t>葛岭镇溪南村汤口9号三迪江山水岸21号楼104复式单元</t>
  </si>
  <si>
    <t>https://paimai.jd.com/311201436</t>
  </si>
  <si>
    <t>长乐区</t>
  </si>
  <si>
    <t>吴航街道鳌山路73号日韵东方D07</t>
  </si>
  <si>
    <t>二拍</t>
  </si>
  <si>
    <t>福州市鼓楼区人民法院</t>
  </si>
  <si>
    <t>https://paimai.jd.com/311199424</t>
  </si>
  <si>
    <t>仓山区</t>
  </si>
  <si>
    <t>建新镇金山大道580号绿色金山四期59#楼103单元</t>
  </si>
  <si>
    <t>https://paimai.jd.com/311199326</t>
  </si>
  <si>
    <t>平潭县</t>
  </si>
  <si>
    <t>潭城镇政府路15号泰元花园梅花1幢6D室</t>
  </si>
  <si>
    <t>政府</t>
  </si>
  <si>
    <t>平潭县人民法院</t>
  </si>
  <si>
    <t>https://paimai.jd.com/311198903</t>
  </si>
  <si>
    <t>金山街道金桔路827号金水湾花园一区30#楼1604单元</t>
  </si>
  <si>
    <t>金水湾</t>
  </si>
  <si>
    <t>https://paimai.jd.com/311198893</t>
  </si>
  <si>
    <t>兴港中路西侧，诚意路南侧正荣·悦玺1#楼2202室</t>
  </si>
  <si>
    <t>https://paimai.jd.com/311198818</t>
  </si>
  <si>
    <t>闽侯县</t>
  </si>
  <si>
    <t>南通镇鑫洲路3号春江天玺花园2#楼1202单元</t>
  </si>
  <si>
    <t>春江天玺花园</t>
  </si>
  <si>
    <t>福州市仓山区人民法院</t>
  </si>
  <si>
    <t>https://paimai.jd.com/311197606</t>
  </si>
  <si>
    <t>台江区</t>
  </si>
  <si>
    <t>鳌峰街道江滨中大道378号圣淘沙花园（现海润花园）5＃楼102复式单元</t>
  </si>
  <si>
    <t>圣淘沙花园</t>
  </si>
  <si>
    <t>https://paimai.jd.com/311196719</t>
  </si>
  <si>
    <t>鳌峰街道江滨中大道378号圣淘沙花园（现海润花园）6＃楼508单元</t>
  </si>
  <si>
    <t>https://paimai.jd.com/311196559</t>
  </si>
  <si>
    <t>鳌峰街道江滨中大道378号圣淘沙花园（现海润花园）6＃楼701单元</t>
  </si>
  <si>
    <t>https://paimai.jd.com/311196533</t>
  </si>
  <si>
    <t>泉州市</t>
  </si>
  <si>
    <t>晋江市</t>
  </si>
  <si>
    <t>池店镇华洲商贸城爱琴海1001室及室内家具家电</t>
  </si>
  <si>
    <t>华洲商贸城</t>
  </si>
  <si>
    <t>泉州市丰泽区人民法院</t>
  </si>
  <si>
    <t>https://paimai.jd.com/311197481</t>
  </si>
  <si>
    <t>罗山街道福埔工业综合开发区华泰国际新城八期87幢1409</t>
  </si>
  <si>
    <t>华泰国际新城</t>
  </si>
  <si>
    <t>福建省泉州市中级人民法院</t>
  </si>
  <si>
    <t>https://paimai.jd.com/311197437</t>
  </si>
  <si>
    <t>池店镇滨泉路2号晋江龙湖池店南项目五期9幢2303</t>
  </si>
  <si>
    <t>https://paimai.jd.com/311197425</t>
  </si>
  <si>
    <t>丰泽区</t>
  </si>
  <si>
    <t>圣湖圣湖邮电宿舍3#702</t>
  </si>
  <si>
    <t>https://paimai.jd.com/311197395</t>
  </si>
  <si>
    <t>洛江区</t>
  </si>
  <si>
    <t>新城路99号南益刺桐春晓10-1幢2605室</t>
  </si>
  <si>
    <t>南益刺桐春晓</t>
  </si>
  <si>
    <t>https://paimai.jd.com/311196645</t>
  </si>
  <si>
    <t>福清市</t>
  </si>
  <si>
    <t>海口镇岑兜村、洋坂村永鸿国际城小区（B区）地下室A地下1层010号车位</t>
  </si>
  <si>
    <t>永鸿国际城</t>
  </si>
  <si>
    <t>车位</t>
  </si>
  <si>
    <t>阿里资产</t>
  </si>
  <si>
    <t>福清市人民法院</t>
  </si>
  <si>
    <t>https://sf-item.taobao.com/sf_item/1081329108536.htm</t>
  </si>
  <si>
    <t>城门镇胪峰路96号金山花园4#楼1006单元房产</t>
  </si>
  <si>
    <t>金山花园</t>
  </si>
  <si>
    <t>闽侯县人民法院</t>
  </si>
  <si>
    <t>https://sf-item.taobao.com/sf_item/1081329092409.htm</t>
  </si>
  <si>
    <t>甘蔗街道墩园洲路17号甘蔗2019-29号地块项目（现：榕心锦江公馆）地下室地下1层651车位</t>
  </si>
  <si>
    <t>墩园</t>
  </si>
  <si>
    <t>https://sf-item.taobao.com/sf_item/1081326632776.htm</t>
  </si>
  <si>
    <t>晋安区</t>
  </si>
  <si>
    <t>鼓山镇樟林秀岭村康乐山庄212#楼整座</t>
  </si>
  <si>
    <t>康乐山庄</t>
  </si>
  <si>
    <t>变卖</t>
  </si>
  <si>
    <t>福州市晋安区人民法院</t>
  </si>
  <si>
    <t>未找到</t>
  </si>
  <si>
    <t>未找到评估报告</t>
  </si>
  <si>
    <t>https://sf-item.taobao.com/sf_item/1081325852345.htm</t>
  </si>
  <si>
    <t>海口镇岑兜村、洋坂村永鸿国际城小区（B区）地下室A地下1层015号车位</t>
  </si>
  <si>
    <t>https://sf-item.taobao.com/sf_item/1079265862736.htm</t>
  </si>
  <si>
    <t>首占镇振铎路98号皇庭·首占1号10#楼A2102单元</t>
  </si>
  <si>
    <t>皇庭·首占</t>
  </si>
  <si>
    <t>福州市长乐区人民法院</t>
  </si>
  <si>
    <t>https://sf-item.taobao.com/sf_item/1078236411241.htm</t>
  </si>
  <si>
    <t>鹤上镇京岭路11号阳光城花满园A3幢127（复式）号房</t>
  </si>
  <si>
    <t>阳光城花满园</t>
  </si>
  <si>
    <t>https://sf-item.taobao.com/sf_item/1079104154012.htm</t>
  </si>
  <si>
    <t>古槐镇中街村新宁路20号旺城禧樾园7#楼202单元及地下室410车位</t>
  </si>
  <si>
    <t>旺城禧樾园</t>
  </si>
  <si>
    <t>https://sf-item.taobao.com/sf_item/1080152505491.htm</t>
  </si>
  <si>
    <t>甘蔗街道滨城大道100号领海三期17#楼3106单元</t>
  </si>
  <si>
    <t>领海三期</t>
  </si>
  <si>
    <t>https://sf-item.taobao.com/sf_item/1078227791991.htm</t>
  </si>
  <si>
    <t>连江县</t>
  </si>
  <si>
    <t>凤城镇荷滨路3号敖洲小区3幢805单元</t>
  </si>
  <si>
    <t>敖洲小区</t>
  </si>
  <si>
    <t>连江县人民法院</t>
  </si>
  <si>
    <t>户型：3室1厅</t>
  </si>
  <si>
    <t>https://sf-item.taobao.com/sf_item/1081151572751.htm</t>
  </si>
  <si>
    <t>北厝镇诚意路8号正荣·悦玺11#楼202室</t>
  </si>
  <si>
    <t>正荣·悦玺</t>
  </si>
  <si>
    <t>https://sf-item.taobao.com/sf_item/1079094770801.htm</t>
  </si>
  <si>
    <t>茶园街道华林路289号金诺大厦（原新澳福大厦）819单元</t>
  </si>
  <si>
    <t>金诺大厦</t>
  </si>
  <si>
    <t>商业</t>
  </si>
  <si>
    <t>https://sf-item.taobao.com/sf_item/1081150380297.htm</t>
  </si>
  <si>
    <t>长乐市航城街道罗马花园1幢703单元及703号杂物间</t>
  </si>
  <si>
    <t>罗马花园</t>
  </si>
  <si>
    <t>https://sf-item.taobao.com/sf_item/1078225723496.htm</t>
  </si>
  <si>
    <t>鼓楼区</t>
  </si>
  <si>
    <t>华大街道华林路84号3#楼503单元</t>
  </si>
  <si>
    <t>华林路84号</t>
  </si>
  <si>
    <t>https://sf-item.taobao.com/sf_item/1081150164330.htm</t>
  </si>
  <si>
    <t>罗源县</t>
  </si>
  <si>
    <t>凤山镇凤凰城9#楼1701单元</t>
  </si>
  <si>
    <t>凤凰城</t>
  </si>
  <si>
    <t>罗源县人民法院</t>
  </si>
  <si>
    <t>户型：4室2厅</t>
  </si>
  <si>
    <t>https://sf-item.taobao.com/sf_item/1079093706293.htm</t>
  </si>
  <si>
    <t>马尾区</t>
  </si>
  <si>
    <t>儒江东路18号名城港湾A地块22#楼504单元房产</t>
  </si>
  <si>
    <t>名城港湾</t>
  </si>
  <si>
    <t>福州市马尾区人民法院</t>
  </si>
  <si>
    <t>https://sf-item.taobao.com/sf_item/1078224791518.htm</t>
  </si>
  <si>
    <t>凤城镇国泰路1号鼎森中央公园二区12幢2707单元</t>
  </si>
  <si>
    <t>鼎森中央公园</t>
  </si>
  <si>
    <t>https://sf-item.taobao.com/sf_item/1081149384038.htm</t>
  </si>
  <si>
    <t>潭城镇东门庄119号东方大名城6幢J03室</t>
  </si>
  <si>
    <t>东方大名城</t>
  </si>
  <si>
    <t>https://sf-item.taobao.com/sf_item/1080142001148.htm</t>
  </si>
  <si>
    <t>凤山镇东外路20号香山小镇花园一期7座楼商业服务网点</t>
  </si>
  <si>
    <t>花园</t>
  </si>
  <si>
    <t>https://sf-item.taobao.com/sf_item/1081136076177.htm</t>
  </si>
  <si>
    <t>闽清县</t>
  </si>
  <si>
    <t>坂东镇坂中路1号六都华侨城6#楼1206单元</t>
  </si>
  <si>
    <t>六都华侨城</t>
  </si>
  <si>
    <t>闽清县人民法院</t>
  </si>
  <si>
    <t>户型：2室1厅</t>
  </si>
  <si>
    <t>https://sf-item.taobao.com/sf_item/1078210987595.htm</t>
  </si>
  <si>
    <t>平潭北厝镇天山北路12号海峡如意城如意半岛57幢03号</t>
  </si>
  <si>
    <t>海峡如意城如意半岛</t>
  </si>
  <si>
    <t>https://sf-item.taobao.com/sf_item/1078208711755.htm</t>
  </si>
  <si>
    <t>华大街道融侨路35号思儿亭小区8#楼7A单元的房屋及2层31附属间</t>
  </si>
  <si>
    <t>思儿亭小区</t>
  </si>
  <si>
    <t>主住宅：156.73㎡；附属间：6.46㎡。；户型：4室2厅</t>
  </si>
  <si>
    <t>https://sf-item.taobao.com/sf_item/1080125193765.htm</t>
  </si>
  <si>
    <t>金峰镇金港路399号鼎弘·东湖湾A区A7#楼501单元及A区A地块地下室288车位</t>
  </si>
  <si>
    <t>鼎弘·东湖湾</t>
  </si>
  <si>
    <t>https://sf-item.taobao.com/sf_item/1081123352374.htm</t>
  </si>
  <si>
    <t>吴航街道盛昌综合商城5幢603单元及6号杂物间</t>
  </si>
  <si>
    <t>盛昌综合商城</t>
  </si>
  <si>
    <t>https://sf-item.taobao.com/sf_item/1081122892898.htm</t>
  </si>
  <si>
    <t>凤城镇泰国路1号鼎森中央公园二区16幢506单元</t>
  </si>
  <si>
    <t>https://sf-item.taobao.com/sf_item/1080113277120.htm</t>
  </si>
  <si>
    <t>鼓山镇秀坂路318号领赋新苑（建发领赋新苑）6#楼2308单元</t>
  </si>
  <si>
    <t>领赋新苑</t>
  </si>
  <si>
    <t>https://sf-item.taobao.com/sf_item/1079000034396.htm</t>
  </si>
  <si>
    <t>松山镇江滨北路13号邦盛蓝湾明珠花园18#楼1707单元</t>
  </si>
  <si>
    <t>邦盛蓝湾明珠花园</t>
  </si>
  <si>
    <t>户型：3室2厅</t>
  </si>
  <si>
    <t>https://sf-item.taobao.com/sf_item/1081055020213.htm</t>
  </si>
  <si>
    <t>松山镇岐鹤路1号宝钢公寓住宅小区12#楼904单元</t>
  </si>
  <si>
    <t>宝钢公寓</t>
  </si>
  <si>
    <t>https://sf-item.taobao.com/sf_item/1080049021223.htm</t>
  </si>
  <si>
    <t>南屿镇乌龙江南大道66号康桥丹堤59#楼1412单元</t>
  </si>
  <si>
    <t>康桥丹堤</t>
  </si>
  <si>
    <t>福州市台江区人民法院</t>
  </si>
  <si>
    <t>https://sf-item.taobao.com/sf_item/1078999738168.htm</t>
  </si>
  <si>
    <t>凤山镇罗川中路5号瑞都花园1#楼2305A、B单元的房产</t>
  </si>
  <si>
    <t>瑞都花园</t>
  </si>
  <si>
    <t>https://sf-item.taobao.com/sf_item/1078998502975.htm</t>
  </si>
  <si>
    <t>凤山镇嘉禾花园1#楼304单元及27号附属间</t>
  </si>
  <si>
    <t>嘉禾花园</t>
  </si>
  <si>
    <t>https://sf-item.taobao.com/sf_item/1078130747220.htm</t>
  </si>
  <si>
    <t>松山镇岐鹤路1号宝钢公寓住宅小区1#楼1004单元</t>
  </si>
  <si>
    <t>https://sf-item.taobao.com/sf_item/1080047413287.htm</t>
  </si>
  <si>
    <t>广达路广达花园3#楼403单元的房屋及1层54附属间</t>
  </si>
  <si>
    <t>广达花园</t>
  </si>
  <si>
    <t>https://sf-item.taobao.com/sf_item/1080038677057.htm</t>
  </si>
  <si>
    <t>梅溪镇渡口村668号博仕后家园11号楼3层308单元（复式）</t>
  </si>
  <si>
    <t>博仕后·家园</t>
  </si>
  <si>
    <t>https://sf-item.taobao.com/sf_item/1078121195986.htm</t>
  </si>
  <si>
    <t>洪山镇乌山西路69号阳光乌山府院B1号楼507单元</t>
  </si>
  <si>
    <t>阳光乌山荣域</t>
  </si>
  <si>
    <t>户型：1室1厅</t>
  </si>
  <si>
    <t>https://sf-item.taobao.com/sf_item/1078974182188.htm</t>
  </si>
  <si>
    <t>高山镇门头村薛厝2-68地号土地使用权及地上建筑物</t>
  </si>
  <si>
    <t>门头村薛厝103</t>
  </si>
  <si>
    <t>https://sf-item.taobao.com/sf_item/1080023073669.htm</t>
  </si>
  <si>
    <t>永春县</t>
  </si>
  <si>
    <t>址在永春县五里街镇桃源北路二期安置房地下室车B115的车位</t>
  </si>
  <si>
    <t>址在永春县五里</t>
  </si>
  <si>
    <t>永春县人民法院</t>
  </si>
  <si>
    <t>需打开网页评估报告提取面积</t>
  </si>
  <si>
    <t>https://sf-item.taobao.com/sf_item/1081328884632.htm</t>
  </si>
  <si>
    <t>址在永春县五里街镇桃源北路二期安置房地下室车B177的车位</t>
  </si>
  <si>
    <t>https://sf-item.taobao.com/sf_item/1081328924550.htm</t>
  </si>
  <si>
    <t>石狮市</t>
  </si>
  <si>
    <t>（最后一拍）石狮市镇中路155号中骏商城中骏商场B005室房地产</t>
  </si>
  <si>
    <t>中骏商城</t>
  </si>
  <si>
    <t>石狮市人民法院</t>
  </si>
  <si>
    <t>https://sf-item.taobao.com/sf_item/1078400127820.htm</t>
  </si>
  <si>
    <t>址在永春县五里街镇桃源北路二期安置房地下室车B178的车位</t>
  </si>
  <si>
    <t>https://sf-item.taobao.com/sf_item/1080318877615.htm</t>
  </si>
  <si>
    <t>址在永春县五里街镇桃源北路二期安置房地下室车B117的车位</t>
  </si>
  <si>
    <t>https://sf-item.taobao.com/sf_item/1080317765753.htm</t>
  </si>
  <si>
    <t>址在永春县五里街镇桃源北路二期安置房6#6-1807的不动产</t>
  </si>
  <si>
    <t>https://sf-item.taobao.com/sf_item/1080317645585.htm</t>
  </si>
  <si>
    <t>（最后一拍）石狮市镇中路155号中骏商城中骏商场B003室房地产</t>
  </si>
  <si>
    <t>https://sf-item.taobao.com/sf_item/1078399311087.htm</t>
  </si>
  <si>
    <t>（最后一拍）石狮市镇中路155号中骏商城中骏商场B002室房地产</t>
  </si>
  <si>
    <t>https://sf-item.taobao.com/sf_item/1081327104204.htm</t>
  </si>
  <si>
    <t>址在永春县五里街镇桃源北路二期安置房4#4-1805的不动产</t>
  </si>
  <si>
    <t>https://sf-item.taobao.com/sf_item/1080317357556.htm</t>
  </si>
  <si>
    <t>址在永春县五里街镇桃源北路二期安置房地下室车B179的车位</t>
  </si>
  <si>
    <t>https://sf-item.taobao.com/sf_item/1079267570242.htm</t>
  </si>
  <si>
    <t>（最后一拍）石狮市宝岛中路8号濠江国际一期6幢A梯3003室房地产</t>
  </si>
  <si>
    <t>濠江国际</t>
  </si>
  <si>
    <t>https://sf-item.taobao.com/sf_item/1079267530099.htm</t>
  </si>
  <si>
    <t>址在永春县五里街镇桃源北路二期安置房地下室车B116的车位</t>
  </si>
  <si>
    <t>https://sf-item.taobao.com/sf_item/1080317525139.htm</t>
  </si>
  <si>
    <t>址在永春县五里街镇桃源北路二期安置房4#4-209的不动产</t>
  </si>
  <si>
    <t>https://sf-item.taobao.com/sf_item/1081325960497.htm</t>
  </si>
  <si>
    <t>（最后一拍）石狮市灵秀镇港塘路96号鼎盛骏景10幢2梯201室房地产</t>
  </si>
  <si>
    <t>https://sf-item.taobao.com/sf_item/1079266006740.htm</t>
  </si>
  <si>
    <t>安溪县</t>
  </si>
  <si>
    <t>凤城镇河滨南路1068号蓝溪国际9号楼304室房产</t>
  </si>
  <si>
    <t>蓝溪国际</t>
  </si>
  <si>
    <t>安溪县人民法院</t>
  </si>
  <si>
    <t>https://sf-item.taobao.com/sf_item/1079252142696.htm</t>
  </si>
  <si>
    <t>城厢镇蓝溪西路600号盛世龙湾二期6号楼1202室房产</t>
  </si>
  <si>
    <t>盛世龙湾</t>
  </si>
  <si>
    <t>https://sf-item.taobao.com/sf_item/1081311180761.htm</t>
  </si>
  <si>
    <t>城厢镇二环南路666号百福豪城二期15号楼305室房产</t>
  </si>
  <si>
    <t>百福豪城</t>
  </si>
  <si>
    <t>https://sf-item.taobao.com/sf_item/1080302641224.htm</t>
  </si>
  <si>
    <t>址在永春县五里街镇桃源北路二期安置房地下室车B180的车位</t>
  </si>
  <si>
    <t>https://sf-item.taobao.com/sf_item/1078383823670.htm</t>
  </si>
  <si>
    <t>宝盖镇龙穴村嘉禄东路37号万科·金域中央1号楼502单元房地产</t>
  </si>
  <si>
    <t>万科·金域中央</t>
  </si>
  <si>
    <t>https://sf-item.taobao.com/sf_item/1079252298093.htm</t>
  </si>
  <si>
    <t>城厢镇蓝溪西路555号金沙水岸C地下室375号车位</t>
  </si>
  <si>
    <t>金沙水岸</t>
  </si>
  <si>
    <t>https://sf-item.taobao.com/sf_item/1079246434597.htm</t>
  </si>
  <si>
    <t>址在永春县五里街镇桃源北路二期安置房地下室车B181的车位</t>
  </si>
  <si>
    <t>https://sf-item.taobao.com/sf_item/1081197540017.htm</t>
  </si>
  <si>
    <t>址在永春县五里街镇桃源北路二期安置房地下室车B183的车位</t>
  </si>
  <si>
    <t>https://sf-item.taobao.com/sf_item/1081196844662.htm</t>
  </si>
  <si>
    <t>址在永春县五里街镇桃源北路二期安置房地下室车B184的车位</t>
  </si>
  <si>
    <t>https://sf-item.taobao.com/sf_item/1080190101406.htm</t>
  </si>
  <si>
    <t>址在永春县五里街镇桃源北路二期安置房地下室车B189的车位</t>
  </si>
  <si>
    <t>https://sf-item.taobao.com/sf_item/1081187816077.htm</t>
  </si>
  <si>
    <t>址在永春县五里街镇桃源北路二期安置房地下室车B185的车位</t>
  </si>
  <si>
    <t>https://sf-item.taobao.com/sf_item/1078262531665.htm</t>
  </si>
  <si>
    <t>址在永春县五里街镇桃源北路二期安置房地下室车B187的车位</t>
  </si>
  <si>
    <t>https://sf-item.taobao.com/sf_item/1079130890662.htm</t>
  </si>
  <si>
    <t>址在永春县五里街镇桃源北路二期安置房地下室车B186的车位</t>
  </si>
  <si>
    <t>https://sf-item.taobao.com/sf_item/1079130906527.htm</t>
  </si>
  <si>
    <t>址在永春县五里街镇桃源北路二期安置房地下室车B188的车位</t>
  </si>
  <si>
    <t>https://sf-item.taobao.com/sf_item/1078262371951.htm</t>
  </si>
  <si>
    <t>址在永春县五里街镇桃源北路二期安置房地下室车B191的车位</t>
  </si>
  <si>
    <t>https://sf-item.taobao.com/sf_item/1081187204529.htm</t>
  </si>
  <si>
    <t>东海滨城东海大街北侧东海湾·丽园2#、3#楼3-A301</t>
  </si>
  <si>
    <t>东海湾·丽园</t>
  </si>
  <si>
    <t>德化县人民法院</t>
  </si>
  <si>
    <t>https://sf-item.taobao.com/sf_item/1080142065525.htm</t>
  </si>
  <si>
    <t>德化县</t>
  </si>
  <si>
    <t>龙浔镇瓷都大道198号碧桂园·御府12幢2层202</t>
  </si>
  <si>
    <t>碧桂园·御府</t>
  </si>
  <si>
    <t>户型：4室1厅</t>
  </si>
  <si>
    <t>https://sf-item.taobao.com/sf_item/1081149304081.htm</t>
  </si>
  <si>
    <t>新行政中心区14-04地块华美国际花园6#-05住宅及室内部分家具家电</t>
  </si>
  <si>
    <t>华美国际花园</t>
  </si>
  <si>
    <t>晋江市人民法院</t>
  </si>
  <si>
    <t>https://sf-item.taobao.com/sf_item/1079092630675.htm</t>
  </si>
  <si>
    <t>新行政中心区华美国际花园10幢03住宅及室内部分家具家电</t>
  </si>
  <si>
    <t>https://sf-item.taobao.com/sf_item/1081135980470.htm</t>
  </si>
  <si>
    <t>池店镇池峰路百信·御江帝景（二期）3幢402</t>
  </si>
  <si>
    <t>百信·御江帝景</t>
  </si>
  <si>
    <t>https://sf-item.taobao.com/sf_item/1079079030667.htm</t>
  </si>
  <si>
    <t>安吉路东侧泉州第一医院城东新址南侧中骏.裕景湾13号楼301</t>
  </si>
  <si>
    <t>中骏.裕景湾</t>
  </si>
  <si>
    <t>https://sf-item.taobao.com/sf_item/1078210459568.htm</t>
  </si>
  <si>
    <t>宝洲路东段北侧宝洲壹号院3号楼302室房产</t>
  </si>
  <si>
    <t>宝洲壹号院</t>
  </si>
  <si>
    <t>https://sf-item.taobao.com/sf_item/1079076926843.htm</t>
  </si>
  <si>
    <t>梅岭街道世纪大道御景花园11幢1301</t>
  </si>
  <si>
    <t>御景花园</t>
  </si>
  <si>
    <t>https://sf-item.taobao.com/sf_item/1079076994847.htm</t>
  </si>
  <si>
    <t>址在永春县五里街镇桃源北路二期安置房地下室车B193的车位</t>
  </si>
  <si>
    <t>https://sf-item.taobao.com/sf_item/1080048709759.htm</t>
  </si>
  <si>
    <t>址在永春县五里街镇桃源北路二期安置房地下室车B192的车位</t>
  </si>
  <si>
    <t>https://sf-item.taobao.com/sf_item/1078999538741.htm</t>
  </si>
  <si>
    <t>址在永春县五里街镇桃源北路二期安置房地下室车B82的车位</t>
  </si>
  <si>
    <t>https://sf-item.taobao.com/sf_item/1078131503857.htm</t>
  </si>
  <si>
    <t>址在永春县五里街镇桃源北路二期安置房地下室车B33的车位</t>
  </si>
  <si>
    <t>https://sf-item.taobao.com/sf_item/1078997998919.htm</t>
  </si>
  <si>
    <t>址在永春县五里街镇桃源北路二期安置房地下室车B123的车位</t>
  </si>
  <si>
    <t>https://sf-item.taobao.com/sf_item/1078997982808.htm</t>
  </si>
  <si>
    <t>址在永春县五里街镇桃源北路二期安置房地下室车B81的车位</t>
  </si>
  <si>
    <t>https://sf-item.taobao.com/sf_item/1078130475730.htm</t>
  </si>
  <si>
    <t>址在永春县五里街镇桃源北路二期安置房6-储45的储藏间</t>
  </si>
  <si>
    <t>https://sf-item.taobao.com/sf_item/1080038405035.htm</t>
  </si>
  <si>
    <t>址在永春县五里街镇桃源北路二期安置房地下室车B16的车位</t>
  </si>
  <si>
    <t>https://sf-item.taobao.com/sf_item/1078121371848.htm</t>
  </si>
  <si>
    <t>址在永春县五里街镇桃源北路二期安置房6-储44的储藏间</t>
  </si>
  <si>
    <t>https://sf-item.taobao.com/sf_item/1081042196503.htm</t>
  </si>
  <si>
    <t>址在永春县五里街镇桃源北路二期安置房地下室车B11的车位</t>
  </si>
  <si>
    <t>https://sf-item.taobao.com/sf_item/1078986766876.htm</t>
  </si>
  <si>
    <t>址在永春县五里街镇桃源北路二期安置房6-储43的储藏间</t>
  </si>
  <si>
    <t>https://sf-item.taobao.com/sf_item/1078986554579.htm</t>
  </si>
  <si>
    <t>成交金额</t>
  </si>
  <si>
    <t>溢价率</t>
  </si>
  <si>
    <t>成交单价</t>
  </si>
  <si>
    <t>竞买记录</t>
  </si>
  <si>
    <t>报名人数</t>
  </si>
  <si>
    <t>五凤街道华大新村B3#楼801单元、1层41附属间不动产（含室内不可移动装饰装修）</t>
  </si>
  <si>
    <t>华大新村</t>
  </si>
  <si>
    <t>是</t>
  </si>
  <si>
    <t>张家港市人民法院</t>
  </si>
  <si>
    <t>https://paimai.jd.com/311096156</t>
  </si>
  <si>
    <t>茶会小区2#楼1层47附属间、804单元</t>
  </si>
  <si>
    <t>茶会小区</t>
  </si>
  <si>
    <t>https://paimai.jd.com/311015195</t>
  </si>
  <si>
    <t>江滨东大道70号江滨新世纪花园10#楼908单元</t>
  </si>
  <si>
    <t>江滨新世纪花园</t>
  </si>
  <si>
    <t>https://paimai.jd.com/311032584</t>
  </si>
  <si>
    <t>南安市</t>
  </si>
  <si>
    <t>水头镇海联创业园中骏•璟峰16号楼10层1003室的房产</t>
  </si>
  <si>
    <t>中骏·璟峰</t>
  </si>
  <si>
    <t>南安市人民法院</t>
  </si>
  <si>
    <t>https://paimai.jd.com/311044788</t>
  </si>
  <si>
    <t>航城街道航辉社区香江路1号香江国际2幢406、407单元 精选资产</t>
  </si>
  <si>
    <t>https://sf-item.taobao.com/sf_item/1072980146330.htm</t>
  </si>
  <si>
    <t>敖江镇云坝路1号世茂云锦公馆10幢1402单元</t>
  </si>
  <si>
    <t>世茂云锦公馆</t>
  </si>
  <si>
    <t>https://sf-item.taobao.com/sf_item/1072916867581.htm</t>
  </si>
  <si>
    <t>城关万宝路南侧万宝小区（万宝嘉华）2幢903室</t>
  </si>
  <si>
    <t>万宝嘉华</t>
  </si>
  <si>
    <t>https://sf-item.taobao.com/sf_item/1076160380264.htm</t>
  </si>
  <si>
    <t>敖江镇云坝路1号世茂云锦公馆10幢1502单元</t>
  </si>
  <si>
    <t>https://sf-item.taobao.com/sf_item/1073761262633.htm</t>
  </si>
  <si>
    <t>敖江镇云坝路1号世茂云锦公馆10幢1401单元</t>
  </si>
  <si>
    <t>https://sf-item.taobao.com/sf_item/1072919999174.htm</t>
  </si>
  <si>
    <t>葛岭镇葛岭村葛岭238号江山大名城悦山7栋402单元</t>
  </si>
  <si>
    <t>江山大名城悦山</t>
  </si>
  <si>
    <t>https://sf-item.taobao.com/sf_item/1069458265550.htm</t>
  </si>
  <si>
    <t>三叉街湖畔路15号鑫高新苑3#楼110单元</t>
  </si>
  <si>
    <t>鑫高新苑</t>
  </si>
  <si>
    <t>https://sf-item.taobao.com/sf_item/1069095219351.htm</t>
  </si>
  <si>
    <t>青口镇农光路116号华韵财富广场5#楼7层725商务办公及地下室地下1层257车位</t>
  </si>
  <si>
    <t>华韵财富广场</t>
  </si>
  <si>
    <t>https://sf-item.taobao.com/sf_item/1070532841760.htm</t>
  </si>
  <si>
    <t>玉屏街道融北、石井村玫瑰园10号楼605单元及16车库</t>
  </si>
  <si>
    <t>玫瑰园</t>
  </si>
  <si>
    <t>https://sf-item.taobao.com/sf_item/1073475450396.htm</t>
  </si>
  <si>
    <t>玉屏街道石井村、龙山街道东刘村石井花园住宅小区7号楼1301复式单元</t>
  </si>
  <si>
    <t>石井花园</t>
  </si>
  <si>
    <t>https://sf-item.taobao.com/sf_item/1074503685568.htm</t>
  </si>
  <si>
    <t>敖江镇云坝路1号世茂云锦公馆10幢1602单元</t>
  </si>
  <si>
    <t>https://sf-item.taobao.com/sf_item/1072919723859.htm</t>
  </si>
  <si>
    <t>鼓山镇牛岗山路567号横屿新苑（二区）（晋安新城鹤林片区横屿安置房三期B区）9#楼2203单元</t>
  </si>
  <si>
    <t>横屿新苑(二区)</t>
  </si>
  <si>
    <t>https://sf-item.taobao.com/sf_item/1070523405492.htm</t>
  </si>
  <si>
    <t>水头镇联合二路1号第五湾8号楼27层2702室的房产</t>
  </si>
  <si>
    <t>联合二路1号第五湾</t>
  </si>
  <si>
    <t>https://sf-item.taobao.com/sf_item/1069471591758.htm</t>
  </si>
  <si>
    <t>凤城镇水门巷20-2号</t>
  </si>
  <si>
    <t>碧湖佳苑</t>
  </si>
  <si>
    <t>https://sf-item.taobao.com/sf_item/1069778006102.htm</t>
  </si>
  <si>
    <t>凤城镇水门巷20号碧湖佳苑802室房产</t>
  </si>
  <si>
    <t>https://sf-item.taobao.com/sf_item/1071775016050.htm</t>
  </si>
  <si>
    <t>池店镇江湾路溜石花园12幢2103住宅</t>
  </si>
  <si>
    <t>溜石花园一期</t>
  </si>
  <si>
    <t>https://sf-item.taobao.com/sf_item/1075813853456.htm</t>
  </si>
  <si>
    <t>凤城镇水门巷18-6号</t>
  </si>
  <si>
    <t>https://sf-item.taobao.com/sf_item/1071788888911.htm</t>
  </si>
  <si>
    <t>新塘街道良种场宏德时代广场1幢509住宅 精选资产</t>
  </si>
  <si>
    <t>宏德时代广场</t>
  </si>
  <si>
    <t>https://sf-item.taobao.com/sf_item/1073264407574.htm</t>
  </si>
  <si>
    <t>五凤街道江厝路70号省直广厦湖前小区25#楼704单元、1层09附属间</t>
  </si>
  <si>
    <t>省直广厦湖前小区</t>
  </si>
  <si>
    <t>否</t>
  </si>
  <si>
    <t>https://paimai.jd.com/311032863</t>
  </si>
  <si>
    <t>南屿镇乌龙江南大道58号南屿滨江城（现：阳光城翡丽湾小区）50#楼201单元</t>
  </si>
  <si>
    <t>南屿滨江城</t>
  </si>
  <si>
    <t>https://paimai.jd.com/311013824</t>
  </si>
  <si>
    <t>盖山镇竹榄路以西，南三环路以北清逸华庭（帝封江2020-29）16#楼1层07商业服务网点（兼容餐饮）</t>
  </si>
  <si>
    <t>清逸华庭</t>
  </si>
  <si>
    <t>https://paimai.jd.com/311105666</t>
  </si>
  <si>
    <t>凤城镇金安西路22号西凤苑2幢805单元</t>
  </si>
  <si>
    <t>西凤苑</t>
  </si>
  <si>
    <t>https://paimai.jd.com/310992564</t>
  </si>
  <si>
    <t>盖山镇竹榄路以西，南三环路以北清逸华庭（帝封江2020-29）S-2#楼1层01商业服务网点（兼容餐饮）</t>
  </si>
  <si>
    <t>https://paimai.jd.com/311105673</t>
  </si>
  <si>
    <t>瀛洲街道建新新村3#楼3层49附属间、709单元</t>
  </si>
  <si>
    <t>建新新村</t>
  </si>
  <si>
    <t>https://paimai.jd.com/311075268</t>
  </si>
  <si>
    <t>盖山镇竹榄路以西，南三环路以北清逸华庭（帝封江2020-29）11#楼1层11商业服务网点（兼容餐饮）</t>
  </si>
  <si>
    <t>https://paimai.jd.com/311105640</t>
  </si>
  <si>
    <t>金井镇新区万祥·滨海新城-和祥苑10幢2602不动产</t>
  </si>
  <si>
    <t>万祥·滨海新城</t>
  </si>
  <si>
    <t>苏州市吴中区人民法院</t>
  </si>
  <si>
    <t>https://paimai.jd.com/311035256</t>
  </si>
  <si>
    <t>江滨北路潘山段北侧泉州万科城一期6号楼502室</t>
  </si>
  <si>
    <t>泉州万科城</t>
  </si>
  <si>
    <t>https://paimai.jd.com/311044203</t>
  </si>
  <si>
    <t>万兴街8号津汇红树湾B区21幢1103室的房产</t>
  </si>
  <si>
    <t>津汇·红树湾</t>
  </si>
  <si>
    <t>https://paimai.jd.com/311044549</t>
  </si>
  <si>
    <t>万安街道桥南社区嘉琳广场7#楼1404</t>
  </si>
  <si>
    <t>嘉琳广场</t>
  </si>
  <si>
    <t>https://paimai.jd.com/311030198</t>
  </si>
  <si>
    <t>泉秀路北侧和昌大厦C幢1706</t>
  </si>
  <si>
    <t>和昌大厦</t>
  </si>
  <si>
    <t>https://paimai.jd.com/311044115</t>
  </si>
  <si>
    <t>吴航镇凯昇小区1幢704单元及5-3号杂物间</t>
  </si>
  <si>
    <t>凯昇小区</t>
  </si>
  <si>
    <t>https://sf-item.taobao.com/sf_item/1058195859223.htm</t>
  </si>
  <si>
    <t>洪山镇乌山西路68号阳光乌山府院A1#楼2层05、06、07商业用房</t>
  </si>
  <si>
    <t>阳光乌山府院</t>
  </si>
  <si>
    <t>https://sf-item.taobao.com/sf_item/1068850959234.htm</t>
  </si>
  <si>
    <t>洪山镇乌山西路68号阳光乌山府院A2#楼2层01、02、03、04、05商业用房</t>
  </si>
  <si>
    <t>https://sf-item.taobao.com/sf_item/1069401074784.htm</t>
  </si>
  <si>
    <t>凤山镇南洋路1号南洋花园住宅区12#楼1705单元</t>
  </si>
  <si>
    <t>南洋花园</t>
  </si>
  <si>
    <t>https://sf-item.taobao.com/sf_item/1069425567733.htm</t>
  </si>
  <si>
    <t>城头镇城头街江城之花B号楼403单元</t>
  </si>
  <si>
    <t>江城之花</t>
  </si>
  <si>
    <t>户型：3室2厅；数据疑似有误：起拍单价约0元/㎡，超出500—100000元/㎡常规核验区间</t>
  </si>
  <si>
    <t>https://sf-item.taobao.com/sf_item/1069462711863.htm</t>
  </si>
  <si>
    <t>盖山镇双湖二路96号永鸿江南城9#楼201单元</t>
  </si>
  <si>
    <t>永鸿江南城</t>
  </si>
  <si>
    <t>https://sf-item.taobao.com/sf_item/1069915206948.htm</t>
  </si>
  <si>
    <t>南通镇民生路8号泰禾南通首府3#楼2006单元房产</t>
  </si>
  <si>
    <t>泰禾南通首府</t>
  </si>
  <si>
    <t>https://sf-item.taobao.com/sf_item/1070198726384.htm</t>
  </si>
  <si>
    <t>凤山镇南洋路1号南洋花园住宅区12#楼805单元</t>
  </si>
  <si>
    <t>https://sf-item.taobao.com/sf_item/1070258898810.htm</t>
  </si>
  <si>
    <t>凤山镇南洋路1号南洋花园住宅区12#楼1609单元</t>
  </si>
  <si>
    <t>https://sf-item.taobao.com/sf_item/1070261354755.htm</t>
  </si>
  <si>
    <t>凤山镇南洋路1号南洋花园住宅区12#楼2406单元</t>
  </si>
  <si>
    <t>https://sf-item.taobao.com/sf_item/1070271266985.htm</t>
  </si>
  <si>
    <t>凤山镇南洋路1号南洋花园住宅区12#楼2409单元</t>
  </si>
  <si>
    <t>https://sf-item.taobao.com/sf_item/1070271714792.htm</t>
  </si>
  <si>
    <t>登龙支路1号水岸君山住宅小区（沁园春B区调整地块（B区-ⅠⅠⅠ）二期B3#205单元）</t>
  </si>
  <si>
    <t>水岸君山</t>
  </si>
  <si>
    <t>https://sf-item.taobao.com/sf_item/1070441281688.htm</t>
  </si>
  <si>
    <t>琅岐镇芦沙路2号三盛盛欣苑（福州未来城（一期））8#楼102复式单元</t>
  </si>
  <si>
    <t>福州未来城（一期）</t>
  </si>
  <si>
    <t>https://sf-item.taobao.com/sf_item/1070712773306.htm</t>
  </si>
  <si>
    <t>新港街道状元街99号汇福花园3#楼809单元</t>
  </si>
  <si>
    <t>汇福花园</t>
  </si>
  <si>
    <t>https://sf-item.taobao.com/sf_item/1071122264275.htm</t>
  </si>
  <si>
    <t>凤山镇南洋路1号南洋花园住宅区12#楼2106单元</t>
  </si>
  <si>
    <t>https://sf-item.taobao.com/sf_item/1071288117954.htm</t>
  </si>
  <si>
    <t>凤山镇南洋路1号南洋花园住宅区12#楼1706单元</t>
  </si>
  <si>
    <t>https://sf-item.taobao.com/sf_item/1071288901370.htm</t>
  </si>
  <si>
    <t>凤山镇南洋路1号南洋花园住宅区12#楼806单元</t>
  </si>
  <si>
    <t>https://sf-item.taobao.com/sf_item/1071291693126.htm</t>
  </si>
  <si>
    <t>松山镇禹步路2号润福佳园6#楼1802单元</t>
  </si>
  <si>
    <t>润福佳园</t>
  </si>
  <si>
    <t>https://sf-item.taobao.com/sf_item/1071300705694.htm</t>
  </si>
  <si>
    <t>建新镇上店路6号建发领江公馆（建发领江花园）19#楼202复式单元</t>
  </si>
  <si>
    <t>建发领江公馆</t>
  </si>
  <si>
    <t>https://sf-item.taobao.com/sf_item/1071680316220.htm</t>
  </si>
  <si>
    <t>高山镇北岭村海尾43号围墙内房屋及集体土地使用权</t>
  </si>
  <si>
    <t>北岭村海尾43号</t>
  </si>
  <si>
    <t>https://sf-item.taobao.com/sf_item/1071704904878.htm</t>
  </si>
  <si>
    <t>音西街道音西村、马山村香匯融江B区20号SY16号楼2902单元</t>
  </si>
  <si>
    <t>香匯融江</t>
  </si>
  <si>
    <t>https://sf-item.taobao.com/sf_item/1071955180401.htm</t>
  </si>
  <si>
    <t>凤山镇南洋路1号南洋花园住宅区12# 楼1406单元</t>
  </si>
  <si>
    <t>https://sf-item.taobao.com/sf_item/1072257520939.htm</t>
  </si>
  <si>
    <t>霞楼村冠宜国际7号楼405单元</t>
  </si>
  <si>
    <t>冠宜国际</t>
  </si>
  <si>
    <t>https://sf-item.taobao.com/sf_item/1072297268459.htm</t>
  </si>
  <si>
    <t>渔溪镇渔溪村苏田村锦绣豪园4号楼505复式单元</t>
  </si>
  <si>
    <t>锦绣豪园</t>
  </si>
  <si>
    <t>https://sf-item.taobao.com/sf_item/1072714283498.htm</t>
  </si>
  <si>
    <t>三山镇横坑村金园花园C区5-1号楼1306单元、1307单元</t>
  </si>
  <si>
    <t>金园</t>
  </si>
  <si>
    <t>https://sf-item.taobao.com/sf_item/1073189379702.htm</t>
  </si>
  <si>
    <t>尾垱街台江农贸市场北侧江滨新村（广宇商贸城）南北区地下1层南区32店面、地下1层南区33店面、地下1层南区34店面</t>
  </si>
  <si>
    <t>江滨新村</t>
  </si>
  <si>
    <t>https://sf-item.taobao.com/sf_item/1073298203406.htm</t>
  </si>
  <si>
    <t>南安大道碧桂园翠岭五街29号楼1-3层的房产</t>
  </si>
  <si>
    <t>碧桂园翠岭</t>
  </si>
  <si>
    <t>https://sf-item.taobao.com/sf_item/1069349863069.htm</t>
  </si>
  <si>
    <t>官桥镇莲湖1号明发商业城4号楼25层2503室的房产</t>
  </si>
  <si>
    <t>明发商业城</t>
  </si>
  <si>
    <t>https://sf-item.taobao.com/sf_item/1069438171792.htm</t>
  </si>
  <si>
    <t>仑苍镇仑苍街水暖新都城（滨江新城）6号楼2116室的房产</t>
  </si>
  <si>
    <t>滨江新城</t>
  </si>
  <si>
    <t>https://sf-item.taobao.com/sf_item/1070173074091.htm</t>
  </si>
  <si>
    <t>宝岛中路8号濠江国际3幢B2603号住宅用房</t>
  </si>
  <si>
    <t>德阳市旌阳区人民法院</t>
  </si>
  <si>
    <t>https://sf-item.taobao.com/sf_item/1070297274406.htm</t>
  </si>
  <si>
    <t>凤城镇河滨南路168号龙湖山庄5幢1107号房产</t>
  </si>
  <si>
    <t>龙湖山庄</t>
  </si>
  <si>
    <t>https://sf-item.taobao.com/sf_item/1070542629704.htm</t>
  </si>
  <si>
    <t>凤城镇水门巷20号碧湖佳苑2102室房产</t>
  </si>
  <si>
    <t>https://sf-item.taobao.com/sf_item/1070818705870.htm</t>
  </si>
  <si>
    <t>鲤城区</t>
  </si>
  <si>
    <t>东街252号4幢703室的房产及室内物品</t>
  </si>
  <si>
    <t>东街252号</t>
  </si>
  <si>
    <t>https://sf-item.taobao.com/sf_item/1071237421305.htm</t>
  </si>
  <si>
    <t>凤城镇水门巷20号碧湖佳苑2103室房产</t>
  </si>
  <si>
    <t>https://sf-item.taobao.com/sf_item/1071790444113.htm</t>
  </si>
  <si>
    <t>水头镇荷楼片区首期星鞍桥安置区（东星荷景园）3C号楼6层606室的房产及室内物品</t>
  </si>
  <si>
    <t>东星荷景园</t>
  </si>
  <si>
    <t>https://sf-item.taobao.com/sf_item/1072260024307.htm</t>
  </si>
  <si>
    <t>永宁镇沙堤十二区20号2栋店面33房产</t>
  </si>
  <si>
    <t>厦门市思明区人民法院</t>
  </si>
  <si>
    <t>https://sf-item.taobao.com/sf_item/1073940031901.htm</t>
  </si>
  <si>
    <t>东华街北侧福隆商业广场一期1-6幢连接体华庭街27#商业房地产</t>
  </si>
  <si>
    <t>福隆商业广场</t>
  </si>
  <si>
    <t>https://sf-item.taobao.com/sf_item/1075813573635.htm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</si>
</sst>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189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3">
        <v>46304.41666666667</v>
      </c>
      <c r="J2" s="2" t="s">
        <v>42</v>
      </c>
      <c r="K2" s="2" t="s">
        <v>43</v>
      </c>
      <c r="L2" s="4">
        <v>167.18</v>
      </c>
      <c r="M2" s="5">
        <f>IF(AND(ISNUMBER(N2),ISNUMBER(L2),L2&gt;0),ROUND(N2/L2,2),"")</f>
        <v>3994.9</v>
      </c>
      <c r="N2" s="6">
        <v>667868</v>
      </c>
      <c r="O2" s="7">
        <v>954096</v>
      </c>
      <c r="P2" s="8">
        <f>IF(AND(ISNUMBER(N2),ISNUMBER(O2),O2&gt;0),N2/O2,"")</f>
        <v>0.7000008384900471</v>
      </c>
      <c r="Q2" s="9" t="s">
        <v>7</v>
      </c>
      <c r="R2" s="9" t="s">
        <v>44</v>
      </c>
    </row>
    <row r="3" spans="1:18" x14ac:dyDescent="0.25">
      <c r="A3" s="2" t="s">
        <v>34</v>
      </c>
      <c r="B3" s="2" t="s">
        <v>35</v>
      </c>
      <c r="C3" s="2" t="s">
        <v>36</v>
      </c>
      <c r="D3" s="2" t="s">
        <v>45</v>
      </c>
      <c r="E3" s="2" t="s">
        <v>38</v>
      </c>
      <c r="F3" s="2" t="s">
        <v>39</v>
      </c>
      <c r="G3" s="2" t="s">
        <v>40</v>
      </c>
      <c r="H3" s="2" t="s">
        <v>41</v>
      </c>
      <c r="I3" s="3">
        <v>46304.41666666667</v>
      </c>
      <c r="J3" s="2" t="s">
        <v>42</v>
      </c>
      <c r="K3" s="2" t="s">
        <v>43</v>
      </c>
      <c r="L3" s="4">
        <v>167.18</v>
      </c>
      <c r="M3" s="5">
        <f>IF(AND(ISNUMBER(N3),ISNUMBER(L3),L3&gt;0),ROUND(N3/L3,2),"")</f>
        <v>3994.9</v>
      </c>
      <c r="N3" s="6">
        <v>667868</v>
      </c>
      <c r="O3" s="7">
        <v>954096</v>
      </c>
      <c r="P3" s="8">
        <f>IF(AND(ISNUMBER(N3),ISNUMBER(O3),O3&gt;0),N3/O3,"")</f>
        <v>0.7000008384900471</v>
      </c>
      <c r="Q3" s="9" t="s">
        <v>7</v>
      </c>
      <c r="R3" s="9" t="s">
        <v>46</v>
      </c>
    </row>
    <row r="4" spans="1:18" x14ac:dyDescent="0.25">
      <c r="A4" s="2" t="s">
        <v>34</v>
      </c>
      <c r="B4" s="2" t="s">
        <v>35</v>
      </c>
      <c r="C4" s="2" t="s">
        <v>36</v>
      </c>
      <c r="D4" s="2" t="s">
        <v>47</v>
      </c>
      <c r="E4" s="2" t="s">
        <v>38</v>
      </c>
      <c r="F4" s="2" t="s">
        <v>39</v>
      </c>
      <c r="G4" s="2" t="s">
        <v>40</v>
      </c>
      <c r="H4" s="2" t="s">
        <v>41</v>
      </c>
      <c r="I4" s="3">
        <v>46304.41666666667</v>
      </c>
      <c r="J4" s="2" t="s">
        <v>42</v>
      </c>
      <c r="K4" s="2" t="s">
        <v>43</v>
      </c>
      <c r="L4" s="4">
        <v>167.27</v>
      </c>
      <c r="M4" s="5">
        <f>IF(AND(ISNUMBER(N4),ISNUMBER(L4),L4&gt;0),ROUND(N4/L4,2),"")</f>
        <v>4342.11</v>
      </c>
      <c r="N4" s="6">
        <v>726304</v>
      </c>
      <c r="O4" s="7">
        <v>1037576</v>
      </c>
      <c r="P4" s="8">
        <f>IF(AND(ISNUMBER(N4),ISNUMBER(O4),O4&gt;0),N4/O4,"")</f>
        <v>0.7000007710278572</v>
      </c>
      <c r="Q4" s="9" t="s">
        <v>7</v>
      </c>
      <c r="R4" s="9" t="s">
        <v>48</v>
      </c>
    </row>
    <row r="5" spans="1:18" x14ac:dyDescent="0.25">
      <c r="A5" s="2" t="s">
        <v>34</v>
      </c>
      <c r="B5" s="2" t="s">
        <v>35</v>
      </c>
      <c r="C5" s="2" t="s">
        <v>36</v>
      </c>
      <c r="D5" s="2" t="s">
        <v>49</v>
      </c>
      <c r="E5" s="2" t="s">
        <v>38</v>
      </c>
      <c r="F5" s="2" t="s">
        <v>39</v>
      </c>
      <c r="G5" s="2" t="s">
        <v>40</v>
      </c>
      <c r="H5" s="2" t="s">
        <v>41</v>
      </c>
      <c r="I5" s="3">
        <v>46304.41666666667</v>
      </c>
      <c r="J5" s="2" t="s">
        <v>42</v>
      </c>
      <c r="K5" s="2" t="s">
        <v>43</v>
      </c>
      <c r="L5" s="4">
        <v>167.27</v>
      </c>
      <c r="M5" s="5">
        <f>IF(AND(ISNUMBER(N5),ISNUMBER(L5),L5&gt;0),ROUND(N5/L5,2),"")</f>
        <v>4255.3</v>
      </c>
      <c r="N5" s="6">
        <v>711784</v>
      </c>
      <c r="O5" s="7">
        <v>1016834</v>
      </c>
      <c r="P5" s="8">
        <f>IF(AND(ISNUMBER(N5),ISNUMBER(O5),O5&gt;0),N5/O5,"")</f>
        <v>0.7000001966889384</v>
      </c>
      <c r="Q5" s="9" t="s">
        <v>7</v>
      </c>
      <c r="R5" s="9" t="s">
        <v>50</v>
      </c>
    </row>
    <row r="6" spans="1:18" x14ac:dyDescent="0.25">
      <c r="A6" s="2" t="s">
        <v>34</v>
      </c>
      <c r="B6" s="2" t="s">
        <v>35</v>
      </c>
      <c r="C6" s="2" t="s">
        <v>36</v>
      </c>
      <c r="D6" s="2" t="s">
        <v>51</v>
      </c>
      <c r="E6" s="2" t="s">
        <v>38</v>
      </c>
      <c r="F6" s="2" t="s">
        <v>39</v>
      </c>
      <c r="G6" s="2" t="s">
        <v>40</v>
      </c>
      <c r="H6" s="2" t="s">
        <v>41</v>
      </c>
      <c r="I6" s="3">
        <v>46304.41666666667</v>
      </c>
      <c r="J6" s="2" t="s">
        <v>42</v>
      </c>
      <c r="K6" s="2" t="s">
        <v>43</v>
      </c>
      <c r="L6" s="4">
        <v>167.27</v>
      </c>
      <c r="M6" s="5">
        <f>IF(AND(ISNUMBER(N6),ISNUMBER(L6),L6&gt;0),ROUND(N6/L6,2),"")</f>
        <v>4342.11</v>
      </c>
      <c r="N6" s="6">
        <v>726304</v>
      </c>
      <c r="O6" s="7">
        <v>1037576</v>
      </c>
      <c r="P6" s="8">
        <f>IF(AND(ISNUMBER(N6),ISNUMBER(O6),O6&gt;0),N6/O6,"")</f>
        <v>0.7000007710278572</v>
      </c>
      <c r="Q6" s="9" t="s">
        <v>7</v>
      </c>
      <c r="R6" s="9" t="s">
        <v>52</v>
      </c>
    </row>
    <row r="7" spans="1:18" x14ac:dyDescent="0.25">
      <c r="A7" s="2" t="s">
        <v>34</v>
      </c>
      <c r="B7" s="2" t="s">
        <v>35</v>
      </c>
      <c r="C7" s="2" t="s">
        <v>36</v>
      </c>
      <c r="D7" s="2" t="s">
        <v>53</v>
      </c>
      <c r="E7" s="2" t="s">
        <v>38</v>
      </c>
      <c r="F7" s="2" t="s">
        <v>39</v>
      </c>
      <c r="G7" s="2" t="s">
        <v>40</v>
      </c>
      <c r="H7" s="2" t="s">
        <v>41</v>
      </c>
      <c r="I7" s="3">
        <v>46304.41666666667</v>
      </c>
      <c r="J7" s="2" t="s">
        <v>42</v>
      </c>
      <c r="K7" s="2" t="s">
        <v>43</v>
      </c>
      <c r="L7" s="4">
        <v>167.18</v>
      </c>
      <c r="M7" s="5">
        <f>IF(AND(ISNUMBER(N7),ISNUMBER(L7),L7&gt;0),ROUND(N7/L7,2),"")</f>
        <v>3994.9</v>
      </c>
      <c r="N7" s="6">
        <v>667868</v>
      </c>
      <c r="O7" s="7">
        <v>954096</v>
      </c>
      <c r="P7" s="8">
        <f>IF(AND(ISNUMBER(N7),ISNUMBER(O7),O7&gt;0),N7/O7,"")</f>
        <v>0.7000008384900471</v>
      </c>
      <c r="Q7" s="9" t="s">
        <v>7</v>
      </c>
      <c r="R7" s="9" t="s">
        <v>54</v>
      </c>
    </row>
    <row r="8" spans="1:18" x14ac:dyDescent="0.25">
      <c r="A8" s="2" t="s">
        <v>34</v>
      </c>
      <c r="B8" s="2" t="s">
        <v>35</v>
      </c>
      <c r="C8" s="2" t="s">
        <v>36</v>
      </c>
      <c r="D8" s="2" t="s">
        <v>55</v>
      </c>
      <c r="E8" s="2" t="s">
        <v>38</v>
      </c>
      <c r="F8" s="2" t="s">
        <v>39</v>
      </c>
      <c r="G8" s="2" t="s">
        <v>40</v>
      </c>
      <c r="H8" s="2" t="s">
        <v>41</v>
      </c>
      <c r="I8" s="3">
        <v>46304.41666666667</v>
      </c>
      <c r="J8" s="2" t="s">
        <v>42</v>
      </c>
      <c r="K8" s="2" t="s">
        <v>43</v>
      </c>
      <c r="L8" s="4">
        <v>167.27</v>
      </c>
      <c r="M8" s="5">
        <f>IF(AND(ISNUMBER(N8),ISNUMBER(L8),L8&gt;0),ROUND(N8/L8,2),"")</f>
        <v>4342.11</v>
      </c>
      <c r="N8" s="6">
        <v>726304</v>
      </c>
      <c r="O8" s="7">
        <v>1037576</v>
      </c>
      <c r="P8" s="8">
        <f>IF(AND(ISNUMBER(N8),ISNUMBER(O8),O8&gt;0),N8/O8,"")</f>
        <v>0.7000007710278572</v>
      </c>
      <c r="Q8" s="9" t="s">
        <v>7</v>
      </c>
      <c r="R8" s="9" t="s">
        <v>56</v>
      </c>
    </row>
    <row r="9" spans="1:18" x14ac:dyDescent="0.25">
      <c r="A9" s="2" t="s">
        <v>34</v>
      </c>
      <c r="B9" s="2" t="s">
        <v>35</v>
      </c>
      <c r="C9" s="2" t="s">
        <v>36</v>
      </c>
      <c r="D9" s="2" t="s">
        <v>57</v>
      </c>
      <c r="E9" s="2" t="s">
        <v>38</v>
      </c>
      <c r="F9" s="2" t="s">
        <v>39</v>
      </c>
      <c r="G9" s="2" t="s">
        <v>40</v>
      </c>
      <c r="H9" s="2" t="s">
        <v>41</v>
      </c>
      <c r="I9" s="3">
        <v>46304.41666666667</v>
      </c>
      <c r="J9" s="2" t="s">
        <v>42</v>
      </c>
      <c r="K9" s="2" t="s">
        <v>43</v>
      </c>
      <c r="L9" s="4">
        <v>167.27</v>
      </c>
      <c r="M9" s="5">
        <f>IF(AND(ISNUMBER(N9),ISNUMBER(L9),L9&gt;0),ROUND(N9/L9,2),"")</f>
        <v>4342.11</v>
      </c>
      <c r="N9" s="6">
        <v>726304</v>
      </c>
      <c r="O9" s="7">
        <v>1037576</v>
      </c>
      <c r="P9" s="8">
        <f>IF(AND(ISNUMBER(N9),ISNUMBER(O9),O9&gt;0),N9/O9,"")</f>
        <v>0.7000007710278572</v>
      </c>
      <c r="Q9" s="9" t="s">
        <v>7</v>
      </c>
      <c r="R9" s="9" t="s">
        <v>58</v>
      </c>
    </row>
    <row r="10" spans="1:18" x14ac:dyDescent="0.25">
      <c r="A10" s="2" t="s">
        <v>34</v>
      </c>
      <c r="B10" s="2" t="s">
        <v>35</v>
      </c>
      <c r="C10" s="2" t="s">
        <v>36</v>
      </c>
      <c r="D10" s="2" t="s">
        <v>59</v>
      </c>
      <c r="E10" s="2" t="s">
        <v>38</v>
      </c>
      <c r="F10" s="2" t="s">
        <v>39</v>
      </c>
      <c r="G10" s="2" t="s">
        <v>40</v>
      </c>
      <c r="H10" s="2" t="s">
        <v>41</v>
      </c>
      <c r="I10" s="3">
        <v>46304.41666666667</v>
      </c>
      <c r="J10" s="2" t="s">
        <v>42</v>
      </c>
      <c r="K10" s="2" t="s">
        <v>43</v>
      </c>
      <c r="L10" s="4">
        <v>167.38</v>
      </c>
      <c r="M10" s="5">
        <f>IF(AND(ISNUMBER(N10),ISNUMBER(L10),L10&gt;0),ROUND(N10/L10,2),"")</f>
        <v>3994.9</v>
      </c>
      <c r="N10" s="6">
        <v>668667</v>
      </c>
      <c r="O10" s="7">
        <v>955238</v>
      </c>
      <c r="P10" s="8">
        <f>IF(AND(ISNUMBER(N10),ISNUMBER(O10),O10&gt;0),N10/O10,"")</f>
        <v>0.7000004187438105</v>
      </c>
      <c r="Q10" s="9" t="s">
        <v>7</v>
      </c>
      <c r="R10" s="9" t="s">
        <v>60</v>
      </c>
    </row>
    <row r="11" spans="1:18" x14ac:dyDescent="0.25">
      <c r="A11" s="2" t="s">
        <v>34</v>
      </c>
      <c r="B11" s="2" t="s">
        <v>35</v>
      </c>
      <c r="C11" s="2" t="s">
        <v>36</v>
      </c>
      <c r="D11" s="2" t="s">
        <v>61</v>
      </c>
      <c r="E11" s="2" t="s">
        <v>38</v>
      </c>
      <c r="F11" s="2" t="s">
        <v>39</v>
      </c>
      <c r="G11" s="2" t="s">
        <v>40</v>
      </c>
      <c r="H11" s="2" t="s">
        <v>41</v>
      </c>
      <c r="I11" s="3">
        <v>46304.41666666667</v>
      </c>
      <c r="J11" s="2" t="s">
        <v>42</v>
      </c>
      <c r="K11" s="2" t="s">
        <v>43</v>
      </c>
      <c r="L11" s="4">
        <v>167.18</v>
      </c>
      <c r="M11" s="5">
        <f>IF(AND(ISNUMBER(N11),ISNUMBER(L11),L11&gt;0),ROUND(N11/L11,2),"")</f>
        <v>3994.9</v>
      </c>
      <c r="N11" s="6">
        <v>667868</v>
      </c>
      <c r="O11" s="7">
        <v>954096</v>
      </c>
      <c r="P11" s="8">
        <f>IF(AND(ISNUMBER(N11),ISNUMBER(O11),O11&gt;0),N11/O11,"")</f>
        <v>0.7000008384900471</v>
      </c>
      <c r="Q11" s="9" t="s">
        <v>7</v>
      </c>
      <c r="R11" s="9" t="s">
        <v>62</v>
      </c>
    </row>
    <row r="12" spans="1:18" x14ac:dyDescent="0.25">
      <c r="A12" s="2" t="s">
        <v>34</v>
      </c>
      <c r="B12" s="2" t="s">
        <v>35</v>
      </c>
      <c r="C12" s="2" t="s">
        <v>36</v>
      </c>
      <c r="D12" s="2" t="s">
        <v>63</v>
      </c>
      <c r="E12" s="2" t="s">
        <v>38</v>
      </c>
      <c r="F12" s="2" t="s">
        <v>39</v>
      </c>
      <c r="G12" s="2" t="s">
        <v>40</v>
      </c>
      <c r="H12" s="2" t="s">
        <v>41</v>
      </c>
      <c r="I12" s="3">
        <v>46304.41666666667</v>
      </c>
      <c r="J12" s="2" t="s">
        <v>42</v>
      </c>
      <c r="K12" s="2" t="s">
        <v>43</v>
      </c>
      <c r="L12" s="4">
        <v>167.18</v>
      </c>
      <c r="M12" s="5">
        <f>IF(AND(ISNUMBER(N12),ISNUMBER(L12),L12&gt;0),ROUND(N12/L12,2),"")</f>
        <v>3994.9</v>
      </c>
      <c r="N12" s="6">
        <v>667868</v>
      </c>
      <c r="O12" s="7">
        <v>954096</v>
      </c>
      <c r="P12" s="8">
        <f>IF(AND(ISNUMBER(N12),ISNUMBER(O12),O12&gt;0),N12/O12,"")</f>
        <v>0.7000008384900471</v>
      </c>
      <c r="Q12" s="9" t="s">
        <v>7</v>
      </c>
      <c r="R12" s="9" t="s">
        <v>64</v>
      </c>
    </row>
    <row r="13" spans="1:18" x14ac:dyDescent="0.25">
      <c r="A13" s="2" t="s">
        <v>34</v>
      </c>
      <c r="B13" s="2" t="s">
        <v>35</v>
      </c>
      <c r="C13" s="2" t="s">
        <v>36</v>
      </c>
      <c r="D13" s="2" t="s">
        <v>65</v>
      </c>
      <c r="E13" s="2" t="s">
        <v>38</v>
      </c>
      <c r="F13" s="2" t="s">
        <v>39</v>
      </c>
      <c r="G13" s="2" t="s">
        <v>40</v>
      </c>
      <c r="H13" s="2" t="s">
        <v>41</v>
      </c>
      <c r="I13" s="3">
        <v>46304.41666666667</v>
      </c>
      <c r="J13" s="2" t="s">
        <v>42</v>
      </c>
      <c r="K13" s="2" t="s">
        <v>43</v>
      </c>
      <c r="L13" s="4">
        <v>167.27</v>
      </c>
      <c r="M13" s="5">
        <f>IF(AND(ISNUMBER(N13),ISNUMBER(L13),L13&gt;0),ROUND(N13/L13,2),"")</f>
        <v>4255.3</v>
      </c>
      <c r="N13" s="6">
        <v>711784</v>
      </c>
      <c r="O13" s="7">
        <v>1016834</v>
      </c>
      <c r="P13" s="8">
        <f>IF(AND(ISNUMBER(N13),ISNUMBER(O13),O13&gt;0),N13/O13,"")</f>
        <v>0.7000001966889384</v>
      </c>
      <c r="Q13" s="9" t="s">
        <v>7</v>
      </c>
      <c r="R13" s="9" t="s">
        <v>66</v>
      </c>
    </row>
    <row r="14" spans="1:18" x14ac:dyDescent="0.25">
      <c r="A14" s="2" t="s">
        <v>34</v>
      </c>
      <c r="B14" s="2" t="s">
        <v>35</v>
      </c>
      <c r="C14" s="2" t="s">
        <v>36</v>
      </c>
      <c r="D14" s="2" t="s">
        <v>67</v>
      </c>
      <c r="E14" s="2" t="s">
        <v>38</v>
      </c>
      <c r="F14" s="2" t="s">
        <v>39</v>
      </c>
      <c r="G14" s="2" t="s">
        <v>40</v>
      </c>
      <c r="H14" s="2" t="s">
        <v>41</v>
      </c>
      <c r="I14" s="3">
        <v>46304.41666666667</v>
      </c>
      <c r="J14" s="2" t="s">
        <v>42</v>
      </c>
      <c r="K14" s="2" t="s">
        <v>43</v>
      </c>
      <c r="L14" s="4">
        <v>167.18</v>
      </c>
      <c r="M14" s="5">
        <f>IF(AND(ISNUMBER(N14),ISNUMBER(L14),L14&gt;0),ROUND(N14/L14,2),"")</f>
        <v>3994.9</v>
      </c>
      <c r="N14" s="6">
        <v>667868</v>
      </c>
      <c r="O14" s="7">
        <v>954096</v>
      </c>
      <c r="P14" s="8">
        <f>IF(AND(ISNUMBER(N14),ISNUMBER(O14),O14&gt;0),N14/O14,"")</f>
        <v>0.7000008384900471</v>
      </c>
      <c r="Q14" s="9" t="s">
        <v>7</v>
      </c>
      <c r="R14" s="9" t="s">
        <v>68</v>
      </c>
    </row>
    <row r="15" spans="1:18" x14ac:dyDescent="0.25">
      <c r="A15" s="2" t="s">
        <v>34</v>
      </c>
      <c r="B15" s="2" t="s">
        <v>35</v>
      </c>
      <c r="C15" s="2" t="s">
        <v>36</v>
      </c>
      <c r="D15" s="2" t="s">
        <v>69</v>
      </c>
      <c r="E15" s="2" t="s">
        <v>38</v>
      </c>
      <c r="F15" s="2" t="s">
        <v>39</v>
      </c>
      <c r="G15" s="2" t="s">
        <v>40</v>
      </c>
      <c r="H15" s="2" t="s">
        <v>41</v>
      </c>
      <c r="I15" s="3">
        <v>46304.41666666667</v>
      </c>
      <c r="J15" s="2" t="s">
        <v>42</v>
      </c>
      <c r="K15" s="2" t="s">
        <v>43</v>
      </c>
      <c r="L15" s="4">
        <v>167.18</v>
      </c>
      <c r="M15" s="5">
        <f>IF(AND(ISNUMBER(N15),ISNUMBER(L15),L15&gt;0),ROUND(N15/L15,2),"")</f>
        <v>3994.9</v>
      </c>
      <c r="N15" s="6">
        <v>667868</v>
      </c>
      <c r="O15" s="7">
        <v>954096</v>
      </c>
      <c r="P15" s="8">
        <f>IF(AND(ISNUMBER(N15),ISNUMBER(O15),O15&gt;0),N15/O15,"")</f>
        <v>0.7000008384900471</v>
      </c>
      <c r="Q15" s="9" t="s">
        <v>7</v>
      </c>
      <c r="R15" s="9" t="s">
        <v>70</v>
      </c>
    </row>
    <row r="16" spans="1:18" x14ac:dyDescent="0.25">
      <c r="A16" s="2" t="s">
        <v>34</v>
      </c>
      <c r="B16" s="2" t="s">
        <v>35</v>
      </c>
      <c r="C16" s="2" t="s">
        <v>36</v>
      </c>
      <c r="D16" s="2" t="s">
        <v>71</v>
      </c>
      <c r="E16" s="2" t="s">
        <v>38</v>
      </c>
      <c r="F16" s="2" t="s">
        <v>39</v>
      </c>
      <c r="G16" s="2" t="s">
        <v>40</v>
      </c>
      <c r="H16" s="2" t="s">
        <v>41</v>
      </c>
      <c r="I16" s="3">
        <v>46304.41666666667</v>
      </c>
      <c r="J16" s="2" t="s">
        <v>42</v>
      </c>
      <c r="K16" s="2" t="s">
        <v>43</v>
      </c>
      <c r="L16" s="4">
        <v>167.27</v>
      </c>
      <c r="M16" s="5">
        <f>IF(AND(ISNUMBER(N16),ISNUMBER(L16),L16&gt;0),ROUND(N16/L16,2),"")</f>
        <v>4255.3</v>
      </c>
      <c r="N16" s="6">
        <v>711784</v>
      </c>
      <c r="O16" s="7">
        <v>1016834</v>
      </c>
      <c r="P16" s="8">
        <f>IF(AND(ISNUMBER(N16),ISNUMBER(O16),O16&gt;0),N16/O16,"")</f>
        <v>0.7000001966889384</v>
      </c>
      <c r="Q16" s="9" t="s">
        <v>7</v>
      </c>
      <c r="R16" s="9" t="s">
        <v>72</v>
      </c>
    </row>
    <row r="17" spans="1:18" x14ac:dyDescent="0.25">
      <c r="A17" s="2" t="s">
        <v>34</v>
      </c>
      <c r="B17" s="2" t="s">
        <v>35</v>
      </c>
      <c r="C17" s="2" t="s">
        <v>36</v>
      </c>
      <c r="D17" s="2" t="s">
        <v>73</v>
      </c>
      <c r="E17" s="2" t="s">
        <v>38</v>
      </c>
      <c r="F17" s="2" t="s">
        <v>39</v>
      </c>
      <c r="G17" s="2" t="s">
        <v>40</v>
      </c>
      <c r="H17" s="2" t="s">
        <v>41</v>
      </c>
      <c r="I17" s="3">
        <v>46304.41666666667</v>
      </c>
      <c r="J17" s="2" t="s">
        <v>42</v>
      </c>
      <c r="K17" s="2" t="s">
        <v>43</v>
      </c>
      <c r="L17" s="4">
        <v>167.27</v>
      </c>
      <c r="M17" s="5">
        <f>IF(AND(ISNUMBER(N17),ISNUMBER(L17),L17&gt;0),ROUND(N17/L17,2),"")</f>
        <v>4255.3</v>
      </c>
      <c r="N17" s="6">
        <v>711784</v>
      </c>
      <c r="O17" s="7">
        <v>1016834</v>
      </c>
      <c r="P17" s="8">
        <f>IF(AND(ISNUMBER(N17),ISNUMBER(O17),O17&gt;0),N17/O17,"")</f>
        <v>0.7000001966889384</v>
      </c>
      <c r="Q17" s="9" t="s">
        <v>7</v>
      </c>
      <c r="R17" s="9" t="s">
        <v>74</v>
      </c>
    </row>
    <row r="18" spans="1:18" x14ac:dyDescent="0.25">
      <c r="A18" s="2" t="s">
        <v>34</v>
      </c>
      <c r="B18" s="2" t="s">
        <v>35</v>
      </c>
      <c r="C18" s="2" t="s">
        <v>36</v>
      </c>
      <c r="D18" s="2" t="s">
        <v>75</v>
      </c>
      <c r="E18" s="2" t="s">
        <v>38</v>
      </c>
      <c r="F18" s="2" t="s">
        <v>39</v>
      </c>
      <c r="G18" s="2" t="s">
        <v>40</v>
      </c>
      <c r="H18" s="2" t="s">
        <v>41</v>
      </c>
      <c r="I18" s="3">
        <v>46304.41666666667</v>
      </c>
      <c r="J18" s="2" t="s">
        <v>42</v>
      </c>
      <c r="K18" s="2" t="s">
        <v>43</v>
      </c>
      <c r="L18" s="4">
        <v>167.18</v>
      </c>
      <c r="M18" s="5">
        <f>IF(AND(ISNUMBER(N18),ISNUMBER(L18),L18&gt;0),ROUND(N18/L18,2),"")</f>
        <v>3994.9</v>
      </c>
      <c r="N18" s="6">
        <v>667868</v>
      </c>
      <c r="O18" s="7">
        <v>954096</v>
      </c>
      <c r="P18" s="8">
        <f>IF(AND(ISNUMBER(N18),ISNUMBER(O18),O18&gt;0),N18/O18,"")</f>
        <v>0.7000008384900471</v>
      </c>
      <c r="Q18" s="9" t="s">
        <v>7</v>
      </c>
      <c r="R18" s="9" t="s">
        <v>76</v>
      </c>
    </row>
    <row r="19" spans="1:18" x14ac:dyDescent="0.25">
      <c r="A19" s="2" t="s">
        <v>34</v>
      </c>
      <c r="B19" s="2" t="s">
        <v>35</v>
      </c>
      <c r="C19" s="2" t="s">
        <v>36</v>
      </c>
      <c r="D19" s="2" t="s">
        <v>77</v>
      </c>
      <c r="E19" s="2" t="s">
        <v>38</v>
      </c>
      <c r="F19" s="2" t="s">
        <v>39</v>
      </c>
      <c r="G19" s="2" t="s">
        <v>40</v>
      </c>
      <c r="H19" s="2" t="s">
        <v>41</v>
      </c>
      <c r="I19" s="3">
        <v>46304.41666666667</v>
      </c>
      <c r="J19" s="2" t="s">
        <v>42</v>
      </c>
      <c r="K19" s="2" t="s">
        <v>43</v>
      </c>
      <c r="L19" s="4">
        <v>167.38</v>
      </c>
      <c r="M19" s="5">
        <f>IF(AND(ISNUMBER(N19),ISNUMBER(L19),L19&gt;0),ROUND(N19/L19,2),"")</f>
        <v>3994.9</v>
      </c>
      <c r="N19" s="6">
        <v>668667</v>
      </c>
      <c r="O19" s="7">
        <v>955238</v>
      </c>
      <c r="P19" s="8">
        <f>IF(AND(ISNUMBER(N19),ISNUMBER(O19),O19&gt;0),N19/O19,"")</f>
        <v>0.7000004187438105</v>
      </c>
      <c r="Q19" s="9" t="s">
        <v>7</v>
      </c>
      <c r="R19" s="9" t="s">
        <v>78</v>
      </c>
    </row>
    <row r="20" spans="1:18" x14ac:dyDescent="0.25">
      <c r="A20" s="2" t="s">
        <v>34</v>
      </c>
      <c r="B20" s="2" t="s">
        <v>35</v>
      </c>
      <c r="C20" s="2" t="s">
        <v>36</v>
      </c>
      <c r="D20" s="2" t="s">
        <v>79</v>
      </c>
      <c r="E20" s="2" t="s">
        <v>38</v>
      </c>
      <c r="F20" s="2" t="s">
        <v>39</v>
      </c>
      <c r="G20" s="2" t="s">
        <v>40</v>
      </c>
      <c r="H20" s="2" t="s">
        <v>41</v>
      </c>
      <c r="I20" s="3">
        <v>46304.41666666667</v>
      </c>
      <c r="J20" s="2" t="s">
        <v>42</v>
      </c>
      <c r="K20" s="2" t="s">
        <v>43</v>
      </c>
      <c r="L20" s="4">
        <v>167.4</v>
      </c>
      <c r="M20" s="5">
        <f>IF(AND(ISNUMBER(N20),ISNUMBER(L20),L20&gt;0),ROUND(N20/L20,2),"")</f>
        <v>4342.1</v>
      </c>
      <c r="N20" s="6">
        <v>726868</v>
      </c>
      <c r="O20" s="7">
        <v>1038382</v>
      </c>
      <c r="P20" s="8">
        <f>IF(AND(ISNUMBER(N20),ISNUMBER(O20),O20&gt;0),N20/O20,"")</f>
        <v>0.7000005778220346</v>
      </c>
      <c r="Q20" s="9" t="s">
        <v>7</v>
      </c>
      <c r="R20" s="9" t="s">
        <v>80</v>
      </c>
    </row>
    <row r="21" spans="1:18" x14ac:dyDescent="0.25">
      <c r="A21" s="2" t="s">
        <v>34</v>
      </c>
      <c r="B21" s="2" t="s">
        <v>35</v>
      </c>
      <c r="C21" s="2" t="s">
        <v>36</v>
      </c>
      <c r="D21" s="2" t="s">
        <v>81</v>
      </c>
      <c r="E21" s="2" t="s">
        <v>38</v>
      </c>
      <c r="F21" s="2" t="s">
        <v>39</v>
      </c>
      <c r="G21" s="2" t="s">
        <v>40</v>
      </c>
      <c r="H21" s="2" t="s">
        <v>41</v>
      </c>
      <c r="I21" s="3">
        <v>46304.41666666667</v>
      </c>
      <c r="J21" s="2" t="s">
        <v>42</v>
      </c>
      <c r="K21" s="2" t="s">
        <v>43</v>
      </c>
      <c r="L21" s="4">
        <v>168.19</v>
      </c>
      <c r="M21" s="5">
        <f>IF(AND(ISNUMBER(N21),ISNUMBER(L21),L21&gt;0),ROUND(N21/L21,2),"")</f>
        <v>3908.1</v>
      </c>
      <c r="N21" s="6">
        <v>657304</v>
      </c>
      <c r="O21" s="7">
        <v>939005</v>
      </c>
      <c r="P21" s="8">
        <f>IF(AND(ISNUMBER(N21),ISNUMBER(O21),O21&gt;0),N21/O21,"")</f>
        <v>0.7000005324785278</v>
      </c>
      <c r="Q21" s="9" t="s">
        <v>7</v>
      </c>
      <c r="R21" s="9" t="s">
        <v>82</v>
      </c>
    </row>
    <row r="22" spans="1:18" x14ac:dyDescent="0.25">
      <c r="A22" s="2" t="s">
        <v>34</v>
      </c>
      <c r="B22" s="2" t="s">
        <v>35</v>
      </c>
      <c r="C22" s="2" t="s">
        <v>83</v>
      </c>
      <c r="D22" s="2" t="s">
        <v>84</v>
      </c>
      <c r="E22" s="2" t="s">
        <v>38</v>
      </c>
      <c r="F22" s="2" t="s">
        <v>39</v>
      </c>
      <c r="G22" s="2" t="s">
        <v>40</v>
      </c>
      <c r="H22" s="2" t="s">
        <v>85</v>
      </c>
      <c r="I22" s="3">
        <v>46287.41666666667</v>
      </c>
      <c r="J22" s="2" t="s">
        <v>42</v>
      </c>
      <c r="K22" s="2" t="s">
        <v>86</v>
      </c>
      <c r="L22" s="4">
        <v>458.4</v>
      </c>
      <c r="M22" s="5">
        <f>IF(AND(ISNUMBER(N22),ISNUMBER(L22),L22&gt;0),ROUND(N22/L22,2),"")</f>
        <v>5988.22</v>
      </c>
      <c r="N22" s="6">
        <v>2745000</v>
      </c>
      <c r="O22" s="7">
        <v>4888816.09</v>
      </c>
      <c r="P22" s="8">
        <f>IF(AND(ISNUMBER(N22),ISNUMBER(O22),O22&gt;0),N22/O22,"")</f>
        <v>0.5614856336311886</v>
      </c>
      <c r="Q22" s="9" t="s">
        <v>7</v>
      </c>
      <c r="R22" s="9" t="s">
        <v>87</v>
      </c>
    </row>
    <row r="23" spans="1:18" x14ac:dyDescent="0.25">
      <c r="A23" s="2" t="s">
        <v>34</v>
      </c>
      <c r="B23" s="2" t="s">
        <v>35</v>
      </c>
      <c r="C23" s="2" t="s">
        <v>88</v>
      </c>
      <c r="D23" s="2" t="s">
        <v>89</v>
      </c>
      <c r="E23" s="2" t="s">
        <v>38</v>
      </c>
      <c r="F23" s="2" t="s">
        <v>39</v>
      </c>
      <c r="G23" s="2" t="s">
        <v>40</v>
      </c>
      <c r="H23" s="2" t="s">
        <v>41</v>
      </c>
      <c r="I23" s="3">
        <v>46303.41666666667</v>
      </c>
      <c r="J23" s="2" t="s">
        <v>42</v>
      </c>
      <c r="K23" s="2" t="s">
        <v>86</v>
      </c>
      <c r="L23" s="4">
        <v>141.08</v>
      </c>
      <c r="M23" s="5">
        <f>IF(AND(ISNUMBER(N23),ISNUMBER(L23),L23&gt;0),ROUND(N23/L23,2),"")</f>
        <v>9817.13</v>
      </c>
      <c r="N23" s="6">
        <v>1385000</v>
      </c>
      <c r="O23" s="7">
        <v>1975120</v>
      </c>
      <c r="P23" s="8">
        <f>IF(AND(ISNUMBER(N23),ISNUMBER(O23),O23&gt;0),N23/O23,"")</f>
        <v>0.701223216817206</v>
      </c>
      <c r="Q23" s="9" t="s">
        <v>7</v>
      </c>
      <c r="R23" s="9" t="s">
        <v>90</v>
      </c>
    </row>
    <row r="24" spans="1:18" x14ac:dyDescent="0.25">
      <c r="A24" s="2" t="s">
        <v>34</v>
      </c>
      <c r="B24" s="2" t="s">
        <v>35</v>
      </c>
      <c r="C24" s="2" t="s">
        <v>91</v>
      </c>
      <c r="D24" s="2" t="s">
        <v>92</v>
      </c>
      <c r="E24" s="2" t="s">
        <v>93</v>
      </c>
      <c r="F24" s="2" t="s">
        <v>39</v>
      </c>
      <c r="G24" s="2" t="s">
        <v>40</v>
      </c>
      <c r="H24" s="2" t="s">
        <v>85</v>
      </c>
      <c r="I24" s="3">
        <v>46282.41666666667</v>
      </c>
      <c r="J24" s="2" t="s">
        <v>42</v>
      </c>
      <c r="K24" s="2" t="s">
        <v>94</v>
      </c>
      <c r="L24" s="4">
        <v>95.42</v>
      </c>
      <c r="M24" s="5">
        <f>IF(AND(ISNUMBER(N24),ISNUMBER(L24),L24&gt;0),ROUND(N24/L24,2),"")</f>
        <v>3851.52</v>
      </c>
      <c r="N24" s="6">
        <v>367512</v>
      </c>
      <c r="O24" s="7">
        <v>510432.04</v>
      </c>
      <c r="P24" s="8">
        <f>IF(AND(ISNUMBER(N24),ISNUMBER(O24),O24&gt;0),N24/O24,"")</f>
        <v>0.7200018243368892</v>
      </c>
      <c r="Q24" s="9" t="s">
        <v>7</v>
      </c>
      <c r="R24" s="9" t="s">
        <v>95</v>
      </c>
    </row>
    <row r="25" spans="1:18" x14ac:dyDescent="0.25">
      <c r="A25" s="2" t="s">
        <v>34</v>
      </c>
      <c r="B25" s="2" t="s">
        <v>35</v>
      </c>
      <c r="C25" s="2" t="s">
        <v>88</v>
      </c>
      <c r="D25" s="2" t="s">
        <v>96</v>
      </c>
      <c r="E25" s="2" t="s">
        <v>97</v>
      </c>
      <c r="F25" s="2" t="s">
        <v>39</v>
      </c>
      <c r="G25" s="2" t="s">
        <v>40</v>
      </c>
      <c r="H25" s="2" t="s">
        <v>41</v>
      </c>
      <c r="I25" s="3">
        <v>46303.41666666667</v>
      </c>
      <c r="J25" s="2" t="s">
        <v>42</v>
      </c>
      <c r="K25" s="2" t="s">
        <v>86</v>
      </c>
      <c r="L25" s="4">
        <v>138.16</v>
      </c>
      <c r="M25" s="5">
        <f>IF(AND(ISNUMBER(N25),ISNUMBER(L25),L25&gt;0),ROUND(N25/L25,2),"")</f>
        <v>15416.91</v>
      </c>
      <c r="N25" s="6">
        <v>2130000</v>
      </c>
      <c r="O25" s="7">
        <v>3039520</v>
      </c>
      <c r="P25" s="8">
        <f>IF(AND(ISNUMBER(N25),ISNUMBER(O25),O25&gt;0),N25/O25,"")</f>
        <v>0.7007685424014318</v>
      </c>
      <c r="Q25" s="9" t="s">
        <v>7</v>
      </c>
      <c r="R25" s="9" t="s">
        <v>98</v>
      </c>
    </row>
    <row r="26" spans="1:18" x14ac:dyDescent="0.25">
      <c r="A26" s="2" t="s">
        <v>34</v>
      </c>
      <c r="B26" s="2" t="s">
        <v>35</v>
      </c>
      <c r="C26" s="2" t="s">
        <v>91</v>
      </c>
      <c r="D26" s="2" t="s">
        <v>99</v>
      </c>
      <c r="E26" s="2" t="s">
        <v>38</v>
      </c>
      <c r="F26" s="2" t="s">
        <v>39</v>
      </c>
      <c r="G26" s="2" t="s">
        <v>40</v>
      </c>
      <c r="H26" s="2" t="s">
        <v>41</v>
      </c>
      <c r="I26" s="3">
        <v>46298.41666666667</v>
      </c>
      <c r="J26" s="2" t="s">
        <v>42</v>
      </c>
      <c r="K26" s="2" t="s">
        <v>94</v>
      </c>
      <c r="L26" s="4">
        <v>116.39</v>
      </c>
      <c r="M26" s="5">
        <f>IF(AND(ISNUMBER(N26),ISNUMBER(L26),L26&gt;0),ROUND(N26/L26,2),"")</f>
        <v>5094.59</v>
      </c>
      <c r="N26" s="6">
        <v>592959</v>
      </c>
      <c r="O26" s="7">
        <v>741199.03</v>
      </c>
      <c r="P26" s="8">
        <f>IF(AND(ISNUMBER(N26),ISNUMBER(O26),O26&gt;0),N26/O26,"")</f>
        <v>0.7999996977869763</v>
      </c>
      <c r="Q26" s="9" t="s">
        <v>7</v>
      </c>
      <c r="R26" s="9" t="s">
        <v>100</v>
      </c>
    </row>
    <row r="27" spans="1:18" x14ac:dyDescent="0.25">
      <c r="A27" s="2" t="s">
        <v>34</v>
      </c>
      <c r="B27" s="2" t="s">
        <v>35</v>
      </c>
      <c r="C27" s="2" t="s">
        <v>101</v>
      </c>
      <c r="D27" s="2" t="s">
        <v>102</v>
      </c>
      <c r="E27" s="2" t="s">
        <v>103</v>
      </c>
      <c r="F27" s="2" t="s">
        <v>39</v>
      </c>
      <c r="G27" s="2" t="s">
        <v>40</v>
      </c>
      <c r="H27" s="2" t="s">
        <v>41</v>
      </c>
      <c r="I27" s="3">
        <v>46308.41666666667</v>
      </c>
      <c r="J27" s="2" t="s">
        <v>42</v>
      </c>
      <c r="K27" s="2" t="s">
        <v>104</v>
      </c>
      <c r="L27" s="4">
        <v>88.76</v>
      </c>
      <c r="M27" s="5">
        <f>IF(AND(ISNUMBER(N27),ISNUMBER(L27),L27&gt;0),ROUND(N27/L27,2),"")</f>
        <v>3205.8</v>
      </c>
      <c r="N27" s="6">
        <v>284547</v>
      </c>
      <c r="O27" s="7">
        <v>406495</v>
      </c>
      <c r="P27" s="8">
        <f>IF(AND(ISNUMBER(N27),ISNUMBER(O27),O27&gt;0),N27/O27,"")</f>
        <v>0.7000012300274296</v>
      </c>
      <c r="Q27" s="9" t="s">
        <v>7</v>
      </c>
      <c r="R27" s="9" t="s">
        <v>105</v>
      </c>
    </row>
    <row r="28" spans="1:18" x14ac:dyDescent="0.25">
      <c r="A28" s="2" t="s">
        <v>34</v>
      </c>
      <c r="B28" s="2" t="s">
        <v>35</v>
      </c>
      <c r="C28" s="2" t="s">
        <v>106</v>
      </c>
      <c r="D28" s="2" t="s">
        <v>107</v>
      </c>
      <c r="E28" s="2" t="s">
        <v>108</v>
      </c>
      <c r="F28" s="2" t="s">
        <v>39</v>
      </c>
      <c r="G28" s="2" t="s">
        <v>40</v>
      </c>
      <c r="H28" s="2" t="s">
        <v>41</v>
      </c>
      <c r="I28" s="3">
        <v>46305.41666666667</v>
      </c>
      <c r="J28" s="2" t="s">
        <v>42</v>
      </c>
      <c r="K28" s="2" t="s">
        <v>43</v>
      </c>
      <c r="L28" s="4">
        <v>163.71</v>
      </c>
      <c r="M28" s="5">
        <f>IF(AND(ISNUMBER(N28),ISNUMBER(L28),L28&gt;0),ROUND(N28/L28,2),"")</f>
        <v>12190.32</v>
      </c>
      <c r="N28" s="6">
        <v>1995678</v>
      </c>
      <c r="O28" s="7">
        <v>2850967.42</v>
      </c>
      <c r="P28" s="8">
        <f>IF(AND(ISNUMBER(N28),ISNUMBER(O28),O28&gt;0),N28/O28,"")</f>
        <v>0.7000002827110525</v>
      </c>
      <c r="Q28" s="9" t="s">
        <v>7</v>
      </c>
      <c r="R28" s="9" t="s">
        <v>109</v>
      </c>
    </row>
    <row r="29" spans="1:18" x14ac:dyDescent="0.25">
      <c r="A29" s="2" t="s">
        <v>34</v>
      </c>
      <c r="B29" s="2" t="s">
        <v>35</v>
      </c>
      <c r="C29" s="2" t="s">
        <v>106</v>
      </c>
      <c r="D29" s="2" t="s">
        <v>110</v>
      </c>
      <c r="E29" s="2" t="s">
        <v>108</v>
      </c>
      <c r="F29" s="2" t="s">
        <v>39</v>
      </c>
      <c r="G29" s="2" t="s">
        <v>40</v>
      </c>
      <c r="H29" s="2" t="s">
        <v>41</v>
      </c>
      <c r="I29" s="3">
        <v>46306.41666666667</v>
      </c>
      <c r="J29" s="2" t="s">
        <v>42</v>
      </c>
      <c r="K29" s="2" t="s">
        <v>43</v>
      </c>
      <c r="L29" s="4">
        <v>146.45</v>
      </c>
      <c r="M29" s="5">
        <f>IF(AND(ISNUMBER(N29),ISNUMBER(L29),L29&gt;0),ROUND(N29/L29,2),"")</f>
        <v>11987.52</v>
      </c>
      <c r="N29" s="6">
        <v>1755572</v>
      </c>
      <c r="O29" s="7">
        <v>2507959.01</v>
      </c>
      <c r="P29" s="8">
        <f>IF(AND(ISNUMBER(N29),ISNUMBER(O29),O29&gt;0),N29/O29,"")</f>
        <v>0.7000002763203056</v>
      </c>
      <c r="Q29" s="9" t="s">
        <v>7</v>
      </c>
      <c r="R29" s="9" t="s">
        <v>111</v>
      </c>
    </row>
    <row r="30" spans="1:18" x14ac:dyDescent="0.25">
      <c r="A30" s="2" t="s">
        <v>34</v>
      </c>
      <c r="B30" s="2" t="s">
        <v>35</v>
      </c>
      <c r="C30" s="2" t="s">
        <v>106</v>
      </c>
      <c r="D30" s="2" t="s">
        <v>112</v>
      </c>
      <c r="E30" s="2" t="s">
        <v>108</v>
      </c>
      <c r="F30" s="2" t="s">
        <v>39</v>
      </c>
      <c r="G30" s="2" t="s">
        <v>40</v>
      </c>
      <c r="H30" s="2" t="s">
        <v>41</v>
      </c>
      <c r="I30" s="3">
        <v>46308.41666666667</v>
      </c>
      <c r="J30" s="2" t="s">
        <v>42</v>
      </c>
      <c r="K30" s="2" t="s">
        <v>43</v>
      </c>
      <c r="L30" s="4">
        <v>129.42</v>
      </c>
      <c r="M30" s="5">
        <f>IF(AND(ISNUMBER(N30),ISNUMBER(L30),L30&gt;0),ROUND(N30/L30,2),"")</f>
        <v>11764.17</v>
      </c>
      <c r="N30" s="6">
        <v>1522519</v>
      </c>
      <c r="O30" s="7">
        <v>2175026.31</v>
      </c>
      <c r="P30" s="8">
        <f>IF(AND(ISNUMBER(N30),ISNUMBER(O30),O30&gt;0),N30/O30,"")</f>
        <v>0.7000002680427346</v>
      </c>
      <c r="Q30" s="9" t="s">
        <v>7</v>
      </c>
      <c r="R30" s="9" t="s">
        <v>113</v>
      </c>
    </row>
    <row r="31" spans="1:18" x14ac:dyDescent="0.25">
      <c r="A31" s="2" t="s">
        <v>34</v>
      </c>
      <c r="B31" s="2" t="s">
        <v>114</v>
      </c>
      <c r="C31" s="2" t="s">
        <v>115</v>
      </c>
      <c r="D31" s="2" t="s">
        <v>116</v>
      </c>
      <c r="E31" s="2" t="s">
        <v>117</v>
      </c>
      <c r="F31" s="2" t="s">
        <v>39</v>
      </c>
      <c r="G31" s="2" t="s">
        <v>40</v>
      </c>
      <c r="H31" s="2" t="s">
        <v>41</v>
      </c>
      <c r="I31" s="3">
        <v>46300.41666666667</v>
      </c>
      <c r="J31" s="2" t="s">
        <v>42</v>
      </c>
      <c r="K31" s="2" t="s">
        <v>118</v>
      </c>
      <c r="L31" s="4">
        <v>38.99</v>
      </c>
      <c r="M31" s="5">
        <f>IF(AND(ISNUMBER(N31),ISNUMBER(L31),L31&gt;0),ROUND(N31/L31,2),"")</f>
        <v>4642.22</v>
      </c>
      <c r="N31" s="6">
        <v>181000</v>
      </c>
      <c r="O31" s="7">
        <v>225200</v>
      </c>
      <c r="P31" s="8">
        <f>IF(AND(ISNUMBER(N31),ISNUMBER(O31),O31&gt;0),N31/O31,"")</f>
        <v>0.8037300177619894</v>
      </c>
      <c r="Q31" s="9" t="s">
        <v>7</v>
      </c>
      <c r="R31" s="9" t="s">
        <v>119</v>
      </c>
    </row>
    <row r="32" spans="1:18" x14ac:dyDescent="0.25">
      <c r="A32" s="2" t="s">
        <v>34</v>
      </c>
      <c r="B32" s="2" t="s">
        <v>114</v>
      </c>
      <c r="C32" s="2" t="s">
        <v>115</v>
      </c>
      <c r="D32" s="2" t="s">
        <v>120</v>
      </c>
      <c r="E32" s="2" t="s">
        <v>121</v>
      </c>
      <c r="F32" s="2" t="s">
        <v>39</v>
      </c>
      <c r="G32" s="2" t="s">
        <v>40</v>
      </c>
      <c r="H32" s="2" t="s">
        <v>41</v>
      </c>
      <c r="I32" s="3">
        <v>46303.41666666667</v>
      </c>
      <c r="J32" s="2" t="s">
        <v>42</v>
      </c>
      <c r="K32" s="2" t="s">
        <v>122</v>
      </c>
      <c r="L32" s="4">
        <v>120.87</v>
      </c>
      <c r="M32" s="5">
        <f>IF(AND(ISNUMBER(N32),ISNUMBER(L32),L32&gt;0),ROUND(N32/L32,2),"")</f>
        <v>8107.88</v>
      </c>
      <c r="N32" s="6">
        <v>980000</v>
      </c>
      <c r="O32" s="7">
        <v>1397037.84</v>
      </c>
      <c r="P32" s="8">
        <f>IF(AND(ISNUMBER(N32),ISNUMBER(O32),O32&gt;0),N32/O32,"")</f>
        <v>0.7014842203558351</v>
      </c>
      <c r="Q32" s="9" t="s">
        <v>7</v>
      </c>
      <c r="R32" s="9" t="s">
        <v>123</v>
      </c>
    </row>
    <row r="33" spans="1:18" x14ac:dyDescent="0.25">
      <c r="A33" s="2" t="s">
        <v>34</v>
      </c>
      <c r="B33" s="2" t="s">
        <v>114</v>
      </c>
      <c r="C33" s="2" t="s">
        <v>115</v>
      </c>
      <c r="D33" s="2" t="s">
        <v>124</v>
      </c>
      <c r="E33" s="2" t="s">
        <v>38</v>
      </c>
      <c r="F33" s="2" t="s">
        <v>39</v>
      </c>
      <c r="G33" s="2" t="s">
        <v>40</v>
      </c>
      <c r="H33" s="2" t="s">
        <v>41</v>
      </c>
      <c r="I33" s="3">
        <v>46300.41666666667</v>
      </c>
      <c r="J33" s="2" t="s">
        <v>42</v>
      </c>
      <c r="K33" s="2" t="s">
        <v>118</v>
      </c>
      <c r="L33" s="4">
        <v>88.19</v>
      </c>
      <c r="M33" s="5">
        <f>IF(AND(ISNUMBER(N33),ISNUMBER(L33),L33&gt;0),ROUND(N33/L33,2),"")</f>
        <v>10205.24</v>
      </c>
      <c r="N33" s="6">
        <v>900000</v>
      </c>
      <c r="O33" s="7">
        <v>1125000</v>
      </c>
      <c r="P33" s="8">
        <f>IF(AND(ISNUMBER(N33),ISNUMBER(O33),O33&gt;0),N33/O33,"")</f>
        <v>0.8</v>
      </c>
      <c r="Q33" s="9" t="s">
        <v>7</v>
      </c>
      <c r="R33" s="9" t="s">
        <v>125</v>
      </c>
    </row>
    <row r="34" spans="1:18" x14ac:dyDescent="0.25">
      <c r="A34" s="2" t="s">
        <v>34</v>
      </c>
      <c r="B34" s="2" t="s">
        <v>114</v>
      </c>
      <c r="C34" s="2" t="s">
        <v>126</v>
      </c>
      <c r="D34" s="2" t="s">
        <v>127</v>
      </c>
      <c r="E34" s="2" t="s">
        <v>38</v>
      </c>
      <c r="F34" s="2" t="s">
        <v>39</v>
      </c>
      <c r="G34" s="2" t="s">
        <v>40</v>
      </c>
      <c r="H34" s="2" t="s">
        <v>41</v>
      </c>
      <c r="I34" s="3">
        <v>46300.41666666667</v>
      </c>
      <c r="J34" s="2" t="s">
        <v>42</v>
      </c>
      <c r="K34" s="2" t="s">
        <v>118</v>
      </c>
      <c r="L34" s="4">
        <v>134.31</v>
      </c>
      <c r="M34" s="5">
        <f>IF(AND(ISNUMBER(N34),ISNUMBER(L34),L34&gt;0),ROUND(N34/L34,2),"")</f>
        <v>11242.65</v>
      </c>
      <c r="N34" s="6">
        <v>1510000</v>
      </c>
      <c r="O34" s="7">
        <v>1883805</v>
      </c>
      <c r="P34" s="8">
        <f>IF(AND(ISNUMBER(N34),ISNUMBER(O34),O34&gt;0),N34/O34,"")</f>
        <v>0.8015691645366692</v>
      </c>
      <c r="Q34" s="9" t="s">
        <v>7</v>
      </c>
      <c r="R34" s="9" t="s">
        <v>128</v>
      </c>
    </row>
    <row r="35" spans="1:18" x14ac:dyDescent="0.25">
      <c r="A35" s="2" t="s">
        <v>34</v>
      </c>
      <c r="B35" s="2" t="s">
        <v>114</v>
      </c>
      <c r="C35" s="2" t="s">
        <v>129</v>
      </c>
      <c r="D35" s="2" t="s">
        <v>130</v>
      </c>
      <c r="E35" s="2" t="s">
        <v>131</v>
      </c>
      <c r="F35" s="2" t="s">
        <v>39</v>
      </c>
      <c r="G35" s="2" t="s">
        <v>40</v>
      </c>
      <c r="H35" s="2" t="s">
        <v>85</v>
      </c>
      <c r="I35" s="3">
        <v>46283.41666666667</v>
      </c>
      <c r="J35" s="2" t="s">
        <v>42</v>
      </c>
      <c r="K35" s="2" t="s">
        <v>122</v>
      </c>
      <c r="L35" s="4">
        <v>89.4</v>
      </c>
      <c r="M35" s="5">
        <f>IF(AND(ISNUMBER(N35),ISNUMBER(L35),L35&gt;0),ROUND(N35/L35,2),"")</f>
        <v>3489.93</v>
      </c>
      <c r="N35" s="6">
        <v>312000</v>
      </c>
      <c r="O35" s="7">
        <v>555571</v>
      </c>
      <c r="P35" s="8">
        <f>IF(AND(ISNUMBER(N35),ISNUMBER(O35),O35&gt;0),N35/O35,"")</f>
        <v>0.5615843879540149</v>
      </c>
      <c r="Q35" s="9" t="s">
        <v>7</v>
      </c>
      <c r="R35" s="9" t="s">
        <v>132</v>
      </c>
    </row>
    <row r="36" spans="1:18" x14ac:dyDescent="0.25">
      <c r="A36" s="2" t="s">
        <v>34</v>
      </c>
      <c r="B36" s="2" t="s">
        <v>35</v>
      </c>
      <c r="C36" s="2" t="s">
        <v>133</v>
      </c>
      <c r="D36" s="2" t="s">
        <v>134</v>
      </c>
      <c r="E36" s="2" t="s">
        <v>135</v>
      </c>
      <c r="F36" s="2" t="s">
        <v>136</v>
      </c>
      <c r="G36" s="2" t="s">
        <v>137</v>
      </c>
      <c r="H36" s="2" t="s">
        <v>41</v>
      </c>
      <c r="I36" s="3">
        <v>46300.41666666667</v>
      </c>
      <c r="J36" s="2" t="s">
        <v>42</v>
      </c>
      <c r="K36" s="2" t="s">
        <v>138</v>
      </c>
      <c r="L36" s="4">
        <v>21.14</v>
      </c>
      <c r="M36" s="5">
        <f>IF(AND(ISNUMBER(N36),ISNUMBER(L36),L36&gt;0),ROUND(N36/L36,2),"")</f>
        <v>993.38</v>
      </c>
      <c r="N36" s="6">
        <v>21000</v>
      </c>
      <c r="O36" s="7">
        <v>30000</v>
      </c>
      <c r="P36" s="8">
        <f>IF(AND(ISNUMBER(N36),ISNUMBER(O36),O36&gt;0),N36/O36,"")</f>
        <v>0.7</v>
      </c>
      <c r="Q36" s="9" t="s">
        <v>7</v>
      </c>
      <c r="R36" s="9" t="s">
        <v>139</v>
      </c>
    </row>
    <row r="37" spans="1:18" x14ac:dyDescent="0.25">
      <c r="A37" s="2" t="s">
        <v>34</v>
      </c>
      <c r="B37" s="2" t="s">
        <v>35</v>
      </c>
      <c r="C37" s="2" t="s">
        <v>88</v>
      </c>
      <c r="D37" s="2" t="s">
        <v>140</v>
      </c>
      <c r="E37" s="2" t="s">
        <v>141</v>
      </c>
      <c r="F37" s="2" t="s">
        <v>39</v>
      </c>
      <c r="G37" s="2" t="s">
        <v>137</v>
      </c>
      <c r="H37" s="2" t="s">
        <v>85</v>
      </c>
      <c r="I37" s="3">
        <v>46284.41666666667</v>
      </c>
      <c r="J37" s="2" t="s">
        <v>42</v>
      </c>
      <c r="K37" s="2" t="s">
        <v>142</v>
      </c>
      <c r="L37" s="4">
        <v>75.38</v>
      </c>
      <c r="M37" s="5">
        <f>IF(AND(ISNUMBER(N37),ISNUMBER(L37),L37&gt;0),ROUND(N37/L37,2),"")</f>
        <v>5439.11</v>
      </c>
      <c r="N37" s="6">
        <v>410000</v>
      </c>
      <c r="O37" s="7">
        <v>726000</v>
      </c>
      <c r="P37" s="8">
        <f>IF(AND(ISNUMBER(N37),ISNUMBER(O37),O37&gt;0),N37/O37,"")</f>
        <v>0.5647382920110193</v>
      </c>
      <c r="Q37" s="9" t="s">
        <v>7</v>
      </c>
      <c r="R37" s="9" t="s">
        <v>143</v>
      </c>
    </row>
    <row r="38" spans="1:18" x14ac:dyDescent="0.25">
      <c r="A38" s="2" t="s">
        <v>34</v>
      </c>
      <c r="B38" s="2" t="s">
        <v>35</v>
      </c>
      <c r="C38" s="2" t="s">
        <v>101</v>
      </c>
      <c r="D38" s="2" t="s">
        <v>144</v>
      </c>
      <c r="E38" s="2" t="s">
        <v>145</v>
      </c>
      <c r="F38" s="2" t="s">
        <v>136</v>
      </c>
      <c r="G38" s="2" t="s">
        <v>137</v>
      </c>
      <c r="H38" s="2" t="s">
        <v>85</v>
      </c>
      <c r="I38" s="3">
        <v>46284.41666666667</v>
      </c>
      <c r="J38" s="2" t="s">
        <v>42</v>
      </c>
      <c r="K38" s="2" t="s">
        <v>142</v>
      </c>
      <c r="L38" s="4">
        <v>26.39</v>
      </c>
      <c r="M38" s="5">
        <f>IF(AND(ISNUMBER(N38),ISNUMBER(L38),L38&gt;0),ROUND(N38/L38,2),"")</f>
        <v>1591.51</v>
      </c>
      <c r="N38" s="6">
        <v>42000</v>
      </c>
      <c r="O38" s="7">
        <v>73100</v>
      </c>
      <c r="P38" s="8">
        <f>IF(AND(ISNUMBER(N38),ISNUMBER(O38),O38&gt;0),N38/O38,"")</f>
        <v>0.5745554035567716</v>
      </c>
      <c r="Q38" s="9" t="s">
        <v>7</v>
      </c>
      <c r="R38" s="9" t="s">
        <v>146</v>
      </c>
    </row>
    <row r="39" spans="1:18" x14ac:dyDescent="0.25">
      <c r="A39" s="2" t="s">
        <v>34</v>
      </c>
      <c r="B39" s="2" t="s">
        <v>35</v>
      </c>
      <c r="C39" s="2" t="s">
        <v>147</v>
      </c>
      <c r="D39" s="2" t="s">
        <v>148</v>
      </c>
      <c r="E39" s="2" t="s">
        <v>149</v>
      </c>
      <c r="F39" s="2" t="s">
        <v>39</v>
      </c>
      <c r="G39" s="2" t="s">
        <v>137</v>
      </c>
      <c r="H39" s="2" t="s">
        <v>150</v>
      </c>
      <c r="I39" s="3">
        <v>46283.41666666667</v>
      </c>
      <c r="J39" s="2" t="s">
        <v>42</v>
      </c>
      <c r="K39" s="2" t="s">
        <v>151</v>
      </c>
      <c r="L39" s="10" t="s">
        <v>152</v>
      </c>
      <c r="M39" s="5" t="str">
        <f>IF(AND(ISNUMBER(N39),ISNUMBER(L39),L39&gt;0),ROUND(N39/L39,2),"")</f>
        <v/>
      </c>
      <c r="N39" s="6">
        <v>2672410</v>
      </c>
      <c r="O39" s="7">
        <v>4175640</v>
      </c>
      <c r="P39" s="8">
        <f>IF(AND(ISNUMBER(N39),ISNUMBER(O39),O39&gt;0),N39/O39,"")</f>
        <v>0.6400000957936987</v>
      </c>
      <c r="Q39" s="2" t="s">
        <v>153</v>
      </c>
      <c r="R39" s="9" t="s">
        <v>154</v>
      </c>
    </row>
    <row r="40" spans="1:18" x14ac:dyDescent="0.25">
      <c r="A40" s="2" t="s">
        <v>34</v>
      </c>
      <c r="B40" s="2" t="s">
        <v>35</v>
      </c>
      <c r="C40" s="2" t="s">
        <v>133</v>
      </c>
      <c r="D40" s="2" t="s">
        <v>155</v>
      </c>
      <c r="E40" s="2" t="s">
        <v>135</v>
      </c>
      <c r="F40" s="2" t="s">
        <v>136</v>
      </c>
      <c r="G40" s="2" t="s">
        <v>137</v>
      </c>
      <c r="H40" s="2" t="s">
        <v>41</v>
      </c>
      <c r="I40" s="3">
        <v>46300.41666666667</v>
      </c>
      <c r="J40" s="2" t="s">
        <v>42</v>
      </c>
      <c r="K40" s="2" t="s">
        <v>138</v>
      </c>
      <c r="L40" s="4">
        <v>27.16</v>
      </c>
      <c r="M40" s="5">
        <f>IF(AND(ISNUMBER(N40),ISNUMBER(L40),L40&gt;0),ROUND(N40/L40,2),"")</f>
        <v>902.06</v>
      </c>
      <c r="N40" s="6">
        <v>24500</v>
      </c>
      <c r="O40" s="7">
        <v>35000</v>
      </c>
      <c r="P40" s="8">
        <f>IF(AND(ISNUMBER(N40),ISNUMBER(O40),O40&gt;0),N40/O40,"")</f>
        <v>0.7</v>
      </c>
      <c r="Q40" s="9" t="s">
        <v>7</v>
      </c>
      <c r="R40" s="9" t="s">
        <v>156</v>
      </c>
    </row>
    <row r="41" spans="1:18" x14ac:dyDescent="0.25">
      <c r="A41" s="2" t="s">
        <v>34</v>
      </c>
      <c r="B41" s="2" t="s">
        <v>35</v>
      </c>
      <c r="C41" s="2" t="s">
        <v>83</v>
      </c>
      <c r="D41" s="2" t="s">
        <v>157</v>
      </c>
      <c r="E41" s="2" t="s">
        <v>158</v>
      </c>
      <c r="F41" s="2" t="s">
        <v>39</v>
      </c>
      <c r="G41" s="2" t="s">
        <v>137</v>
      </c>
      <c r="H41" s="2" t="s">
        <v>41</v>
      </c>
      <c r="I41" s="3">
        <v>46297.41666666667</v>
      </c>
      <c r="J41" s="2" t="s">
        <v>42</v>
      </c>
      <c r="K41" s="2" t="s">
        <v>159</v>
      </c>
      <c r="L41" s="4">
        <v>138.94</v>
      </c>
      <c r="M41" s="5">
        <f>IF(AND(ISNUMBER(N41),ISNUMBER(L41),L41&gt;0),ROUND(N41/L41,2),"")</f>
        <v>9594.07</v>
      </c>
      <c r="N41" s="6">
        <v>1333000</v>
      </c>
      <c r="O41" s="7">
        <v>1903714</v>
      </c>
      <c r="P41" s="8">
        <f>IF(AND(ISNUMBER(N41),ISNUMBER(O41),O41&gt;0),N41/O41,"")</f>
        <v>0.7002102206528922</v>
      </c>
      <c r="Q41" s="9" t="s">
        <v>7</v>
      </c>
      <c r="R41" s="9" t="s">
        <v>160</v>
      </c>
    </row>
    <row r="42" spans="1:18" x14ac:dyDescent="0.25">
      <c r="A42" s="2" t="s">
        <v>34</v>
      </c>
      <c r="B42" s="2" t="s">
        <v>35</v>
      </c>
      <c r="C42" s="2" t="s">
        <v>83</v>
      </c>
      <c r="D42" s="2" t="s">
        <v>161</v>
      </c>
      <c r="E42" s="2" t="s">
        <v>162</v>
      </c>
      <c r="F42" s="2" t="s">
        <v>39</v>
      </c>
      <c r="G42" s="2" t="s">
        <v>137</v>
      </c>
      <c r="H42" s="2" t="s">
        <v>41</v>
      </c>
      <c r="I42" s="3">
        <v>46297.41666666667</v>
      </c>
      <c r="J42" s="2" t="s">
        <v>42</v>
      </c>
      <c r="K42" s="2" t="s">
        <v>159</v>
      </c>
      <c r="L42" s="4">
        <v>157.32</v>
      </c>
      <c r="M42" s="5">
        <f>IF(AND(ISNUMBER(N42),ISNUMBER(L42),L42&gt;0),ROUND(N42/L42,2),"")</f>
        <v>3949.28</v>
      </c>
      <c r="N42" s="6">
        <v>621300</v>
      </c>
      <c r="O42" s="7">
        <v>887522</v>
      </c>
      <c r="P42" s="8">
        <f>IF(AND(ISNUMBER(N42),ISNUMBER(O42),O42&gt;0),N42/O42,"")</f>
        <v>0.7000389849491054</v>
      </c>
      <c r="Q42" s="9" t="s">
        <v>7</v>
      </c>
      <c r="R42" s="9" t="s">
        <v>163</v>
      </c>
    </row>
    <row r="43" spans="1:18" x14ac:dyDescent="0.25">
      <c r="A43" s="2" t="s">
        <v>34</v>
      </c>
      <c r="B43" s="2" t="s">
        <v>35</v>
      </c>
      <c r="C43" s="2" t="s">
        <v>83</v>
      </c>
      <c r="D43" s="2" t="s">
        <v>164</v>
      </c>
      <c r="E43" s="2" t="s">
        <v>165</v>
      </c>
      <c r="F43" s="2" t="s">
        <v>136</v>
      </c>
      <c r="G43" s="2" t="s">
        <v>137</v>
      </c>
      <c r="H43" s="2" t="s">
        <v>85</v>
      </c>
      <c r="I43" s="3">
        <v>46282.41666666667</v>
      </c>
      <c r="J43" s="2" t="s">
        <v>42</v>
      </c>
      <c r="K43" s="2" t="s">
        <v>159</v>
      </c>
      <c r="L43" s="4">
        <v>130.29</v>
      </c>
      <c r="M43" s="5">
        <f>IF(AND(ISNUMBER(N43),ISNUMBER(L43),L43&gt;0),ROUND(N43/L43,2),"")</f>
        <v>4565.2</v>
      </c>
      <c r="N43" s="6">
        <v>594800</v>
      </c>
      <c r="O43" s="7">
        <v>1062009</v>
      </c>
      <c r="P43" s="8">
        <f>IF(AND(ISNUMBER(N43),ISNUMBER(O43),O43&gt;0),N43/O43,"")</f>
        <v>0.5600705832059804</v>
      </c>
      <c r="Q43" s="9" t="s">
        <v>7</v>
      </c>
      <c r="R43" s="9" t="s">
        <v>166</v>
      </c>
    </row>
    <row r="44" spans="1:18" x14ac:dyDescent="0.25">
      <c r="A44" s="2" t="s">
        <v>34</v>
      </c>
      <c r="B44" s="2" t="s">
        <v>35</v>
      </c>
      <c r="C44" s="2" t="s">
        <v>101</v>
      </c>
      <c r="D44" s="2" t="s">
        <v>167</v>
      </c>
      <c r="E44" s="2" t="s">
        <v>168</v>
      </c>
      <c r="F44" s="2" t="s">
        <v>39</v>
      </c>
      <c r="G44" s="2" t="s">
        <v>137</v>
      </c>
      <c r="H44" s="2" t="s">
        <v>41</v>
      </c>
      <c r="I44" s="3">
        <v>46298.41666666667</v>
      </c>
      <c r="J44" s="2" t="s">
        <v>42</v>
      </c>
      <c r="K44" s="2" t="s">
        <v>142</v>
      </c>
      <c r="L44" s="4">
        <v>98.65</v>
      </c>
      <c r="M44" s="5">
        <f>IF(AND(ISNUMBER(N44),ISNUMBER(L44),L44&gt;0),ROUND(N44/L44,2),"")</f>
        <v>6133.05</v>
      </c>
      <c r="N44" s="6">
        <v>605025</v>
      </c>
      <c r="O44" s="7">
        <v>605025</v>
      </c>
      <c r="P44" s="8">
        <f>IF(AND(ISNUMBER(N44),ISNUMBER(O44),O44&gt;0),N44/O44,"")</f>
        <v>1</v>
      </c>
      <c r="Q44" s="9" t="s">
        <v>7</v>
      </c>
      <c r="R44" s="9" t="s">
        <v>169</v>
      </c>
    </row>
    <row r="45" spans="1:18" x14ac:dyDescent="0.25">
      <c r="A45" s="2" t="s">
        <v>34</v>
      </c>
      <c r="B45" s="2" t="s">
        <v>35</v>
      </c>
      <c r="C45" s="2" t="s">
        <v>170</v>
      </c>
      <c r="D45" s="2" t="s">
        <v>171</v>
      </c>
      <c r="E45" s="2" t="s">
        <v>172</v>
      </c>
      <c r="F45" s="2" t="s">
        <v>39</v>
      </c>
      <c r="G45" s="2" t="s">
        <v>137</v>
      </c>
      <c r="H45" s="2" t="s">
        <v>41</v>
      </c>
      <c r="I45" s="3">
        <v>46298.41666666667</v>
      </c>
      <c r="J45" s="2" t="s">
        <v>42</v>
      </c>
      <c r="K45" s="2" t="s">
        <v>173</v>
      </c>
      <c r="L45" s="4">
        <v>68.55</v>
      </c>
      <c r="M45" s="5">
        <f>IF(AND(ISNUMBER(N45),ISNUMBER(L45),L45&gt;0),ROUND(N45/L45,2),"")</f>
        <v>6024.08</v>
      </c>
      <c r="N45" s="6">
        <v>412951</v>
      </c>
      <c r="O45" s="7">
        <v>589929.62</v>
      </c>
      <c r="P45" s="8">
        <f>IF(AND(ISNUMBER(N45),ISNUMBER(O45),O45&gt;0),N45/O45,"")</f>
        <v>0.7000004509012449</v>
      </c>
      <c r="Q45" s="2" t="s">
        <v>174</v>
      </c>
      <c r="R45" s="9" t="s">
        <v>175</v>
      </c>
    </row>
    <row r="46" spans="1:18" x14ac:dyDescent="0.25">
      <c r="A46" s="2" t="s">
        <v>34</v>
      </c>
      <c r="B46" s="2" t="s">
        <v>35</v>
      </c>
      <c r="C46" s="2" t="s">
        <v>91</v>
      </c>
      <c r="D46" s="2" t="s">
        <v>176</v>
      </c>
      <c r="E46" s="2" t="s">
        <v>177</v>
      </c>
      <c r="F46" s="2" t="s">
        <v>39</v>
      </c>
      <c r="G46" s="2" t="s">
        <v>137</v>
      </c>
      <c r="H46" s="2" t="s">
        <v>150</v>
      </c>
      <c r="I46" s="3">
        <v>46283.41666666667</v>
      </c>
      <c r="J46" s="2" t="s">
        <v>42</v>
      </c>
      <c r="K46" s="2" t="s">
        <v>94</v>
      </c>
      <c r="L46" s="4">
        <v>113.28</v>
      </c>
      <c r="M46" s="5">
        <f>IF(AND(ISNUMBER(N46),ISNUMBER(L46),L46&gt;0),ROUND(N46/L46,2),"")</f>
        <v>4046.54</v>
      </c>
      <c r="N46" s="6">
        <v>458392</v>
      </c>
      <c r="O46" s="7">
        <v>636655.34</v>
      </c>
      <c r="P46" s="8">
        <f>IF(AND(ISNUMBER(N46),ISNUMBER(O46),O46&gt;0),N46/O46,"")</f>
        <v>0.7200002437739704</v>
      </c>
      <c r="Q46" s="9" t="s">
        <v>7</v>
      </c>
      <c r="R46" s="9" t="s">
        <v>178</v>
      </c>
    </row>
    <row r="47" spans="1:18" x14ac:dyDescent="0.25">
      <c r="A47" s="2" t="s">
        <v>34</v>
      </c>
      <c r="B47" s="2" t="s">
        <v>35</v>
      </c>
      <c r="C47" s="2" t="s">
        <v>147</v>
      </c>
      <c r="D47" s="2" t="s">
        <v>179</v>
      </c>
      <c r="E47" s="2" t="s">
        <v>180</v>
      </c>
      <c r="F47" s="2" t="s">
        <v>181</v>
      </c>
      <c r="G47" s="2" t="s">
        <v>137</v>
      </c>
      <c r="H47" s="2" t="s">
        <v>41</v>
      </c>
      <c r="I47" s="3">
        <v>46310.41666666667</v>
      </c>
      <c r="J47" s="2" t="s">
        <v>42</v>
      </c>
      <c r="K47" s="2" t="s">
        <v>104</v>
      </c>
      <c r="L47" s="4">
        <v>46.86</v>
      </c>
      <c r="M47" s="5">
        <f>IF(AND(ISNUMBER(N47),ISNUMBER(L47),L47&gt;0),ROUND(N47/L47,2),"")</f>
        <v>5458</v>
      </c>
      <c r="N47" s="6">
        <v>255762</v>
      </c>
      <c r="O47" s="7">
        <v>365373</v>
      </c>
      <c r="P47" s="8">
        <f>IF(AND(ISNUMBER(N47),ISNUMBER(O47),O47&gt;0),N47/O47,"")</f>
        <v>0.7000024632361997</v>
      </c>
      <c r="Q47" s="9" t="s">
        <v>7</v>
      </c>
      <c r="R47" s="9" t="s">
        <v>182</v>
      </c>
    </row>
    <row r="48" spans="1:18" x14ac:dyDescent="0.25">
      <c r="A48" s="2" t="s">
        <v>34</v>
      </c>
      <c r="B48" s="2" t="s">
        <v>35</v>
      </c>
      <c r="C48" s="2" t="s">
        <v>83</v>
      </c>
      <c r="D48" s="2" t="s">
        <v>183</v>
      </c>
      <c r="E48" s="2" t="s">
        <v>184</v>
      </c>
      <c r="F48" s="2" t="s">
        <v>39</v>
      </c>
      <c r="G48" s="2" t="s">
        <v>137</v>
      </c>
      <c r="H48" s="2" t="s">
        <v>150</v>
      </c>
      <c r="I48" s="3">
        <v>46282.41666666667</v>
      </c>
      <c r="J48" s="2" t="s">
        <v>42</v>
      </c>
      <c r="K48" s="2" t="s">
        <v>159</v>
      </c>
      <c r="L48" s="4">
        <v>154.89</v>
      </c>
      <c r="M48" s="5">
        <f>IF(AND(ISNUMBER(N48),ISNUMBER(L48),L48&gt;0),ROUND(N48/L48,2),"")</f>
        <v>3243.59</v>
      </c>
      <c r="N48" s="6">
        <v>502400</v>
      </c>
      <c r="O48" s="7">
        <v>897139</v>
      </c>
      <c r="P48" s="8">
        <f>IF(AND(ISNUMBER(N48),ISNUMBER(O48),O48&gt;0),N48/O48,"")</f>
        <v>0.5600024076536635</v>
      </c>
      <c r="Q48" s="9" t="s">
        <v>7</v>
      </c>
      <c r="R48" s="9" t="s">
        <v>185</v>
      </c>
    </row>
    <row r="49" spans="1:18" x14ac:dyDescent="0.25">
      <c r="A49" s="2" t="s">
        <v>34</v>
      </c>
      <c r="B49" s="2" t="s">
        <v>35</v>
      </c>
      <c r="C49" s="2" t="s">
        <v>186</v>
      </c>
      <c r="D49" s="2" t="s">
        <v>187</v>
      </c>
      <c r="E49" s="2" t="s">
        <v>188</v>
      </c>
      <c r="F49" s="2" t="s">
        <v>39</v>
      </c>
      <c r="G49" s="2" t="s">
        <v>137</v>
      </c>
      <c r="H49" s="2" t="s">
        <v>41</v>
      </c>
      <c r="I49" s="3">
        <v>46310.41666666667</v>
      </c>
      <c r="J49" s="2" t="s">
        <v>42</v>
      </c>
      <c r="K49" s="2" t="s">
        <v>104</v>
      </c>
      <c r="L49" s="4">
        <v>84.44</v>
      </c>
      <c r="M49" s="5">
        <f>IF(AND(ISNUMBER(N49),ISNUMBER(L49),L49&gt;0),ROUND(N49/L49,2),"")</f>
        <v>20032.96</v>
      </c>
      <c r="N49" s="6">
        <v>1691583</v>
      </c>
      <c r="O49" s="7">
        <v>2416547</v>
      </c>
      <c r="P49" s="8">
        <f>IF(AND(ISNUMBER(N49),ISNUMBER(O49),O49&gt;0),N49/O49,"")</f>
        <v>0.7000000413813594</v>
      </c>
      <c r="Q49" s="9" t="s">
        <v>7</v>
      </c>
      <c r="R49" s="9" t="s">
        <v>189</v>
      </c>
    </row>
    <row r="50" spans="1:18" x14ac:dyDescent="0.25">
      <c r="A50" s="2" t="s">
        <v>34</v>
      </c>
      <c r="B50" s="2" t="s">
        <v>35</v>
      </c>
      <c r="C50" s="2" t="s">
        <v>190</v>
      </c>
      <c r="D50" s="2" t="s">
        <v>191</v>
      </c>
      <c r="E50" s="2" t="s">
        <v>192</v>
      </c>
      <c r="F50" s="2" t="s">
        <v>39</v>
      </c>
      <c r="G50" s="2" t="s">
        <v>137</v>
      </c>
      <c r="H50" s="2" t="s">
        <v>41</v>
      </c>
      <c r="I50" s="3">
        <v>46297.41666666667</v>
      </c>
      <c r="J50" s="2" t="s">
        <v>42</v>
      </c>
      <c r="K50" s="2" t="s">
        <v>193</v>
      </c>
      <c r="L50" s="4">
        <v>148.22</v>
      </c>
      <c r="M50" s="5">
        <f>IF(AND(ISNUMBER(N50),ISNUMBER(L50),L50&gt;0),ROUND(N50/L50,2),"")</f>
        <v>4680.96</v>
      </c>
      <c r="N50" s="6">
        <v>693811.67</v>
      </c>
      <c r="O50" s="7">
        <v>867264.58</v>
      </c>
      <c r="P50" s="8">
        <f>IF(AND(ISNUMBER(N50),ISNUMBER(O50),O50&gt;0),N50/O50,"")</f>
        <v>0.8000000069183041</v>
      </c>
      <c r="Q50" s="2" t="s">
        <v>194</v>
      </c>
      <c r="R50" s="9" t="s">
        <v>195</v>
      </c>
    </row>
    <row r="51" spans="1:18" x14ac:dyDescent="0.25">
      <c r="A51" s="2" t="s">
        <v>34</v>
      </c>
      <c r="B51" s="2" t="s">
        <v>35</v>
      </c>
      <c r="C51" s="2" t="s">
        <v>196</v>
      </c>
      <c r="D51" s="2" t="s">
        <v>197</v>
      </c>
      <c r="E51" s="2" t="s">
        <v>198</v>
      </c>
      <c r="F51" s="2" t="s">
        <v>39</v>
      </c>
      <c r="G51" s="2" t="s">
        <v>137</v>
      </c>
      <c r="H51" s="2" t="s">
        <v>41</v>
      </c>
      <c r="I51" s="3">
        <v>46302.41666666667</v>
      </c>
      <c r="J51" s="2" t="s">
        <v>42</v>
      </c>
      <c r="K51" s="2" t="s">
        <v>199</v>
      </c>
      <c r="L51" s="4">
        <v>109.2</v>
      </c>
      <c r="M51" s="5">
        <f>IF(AND(ISNUMBER(N51),ISNUMBER(L51),L51&gt;0),ROUND(N51/L51,2),"")</f>
        <v>6300</v>
      </c>
      <c r="N51" s="6">
        <v>687960</v>
      </c>
      <c r="O51" s="7">
        <v>982800</v>
      </c>
      <c r="P51" s="8">
        <f>IF(AND(ISNUMBER(N51),ISNUMBER(O51),O51&gt;0),N51/O51,"")</f>
        <v>0.7</v>
      </c>
      <c r="Q51" s="9" t="s">
        <v>7</v>
      </c>
      <c r="R51" s="9" t="s">
        <v>200</v>
      </c>
    </row>
    <row r="52" spans="1:18" x14ac:dyDescent="0.25">
      <c r="A52" s="2" t="s">
        <v>34</v>
      </c>
      <c r="B52" s="2" t="s">
        <v>35</v>
      </c>
      <c r="C52" s="2" t="s">
        <v>170</v>
      </c>
      <c r="D52" s="2" t="s">
        <v>201</v>
      </c>
      <c r="E52" s="2" t="s">
        <v>202</v>
      </c>
      <c r="F52" s="2" t="s">
        <v>39</v>
      </c>
      <c r="G52" s="2" t="s">
        <v>137</v>
      </c>
      <c r="H52" s="2" t="s">
        <v>41</v>
      </c>
      <c r="I52" s="3">
        <v>46297.41666666667</v>
      </c>
      <c r="J52" s="2" t="s">
        <v>42</v>
      </c>
      <c r="K52" s="2" t="s">
        <v>173</v>
      </c>
      <c r="L52" s="4">
        <v>130.19</v>
      </c>
      <c r="M52" s="5">
        <f>IF(AND(ISNUMBER(N52),ISNUMBER(L52),L52&gt;0),ROUND(N52/L52,2),"")</f>
        <v>8853.44</v>
      </c>
      <c r="N52" s="6">
        <v>1152628.85</v>
      </c>
      <c r="O52" s="7">
        <v>1440786.06</v>
      </c>
      <c r="P52" s="8">
        <f>IF(AND(ISNUMBER(N52),ISNUMBER(O52),O52&gt;0),N52/O52,"")</f>
        <v>0.8000000013881312</v>
      </c>
      <c r="Q52" s="9" t="s">
        <v>7</v>
      </c>
      <c r="R52" s="9" t="s">
        <v>203</v>
      </c>
    </row>
    <row r="53" spans="1:18" x14ac:dyDescent="0.25">
      <c r="A53" s="2" t="s">
        <v>34</v>
      </c>
      <c r="B53" s="2" t="s">
        <v>35</v>
      </c>
      <c r="C53" s="2" t="s">
        <v>91</v>
      </c>
      <c r="D53" s="2" t="s">
        <v>204</v>
      </c>
      <c r="E53" s="2" t="s">
        <v>205</v>
      </c>
      <c r="F53" s="2" t="s">
        <v>39</v>
      </c>
      <c r="G53" s="2" t="s">
        <v>137</v>
      </c>
      <c r="H53" s="2" t="s">
        <v>150</v>
      </c>
      <c r="I53" s="3">
        <v>46283.41666666667</v>
      </c>
      <c r="J53" s="2" t="s">
        <v>42</v>
      </c>
      <c r="K53" s="2" t="s">
        <v>94</v>
      </c>
      <c r="L53" s="4">
        <v>152.79</v>
      </c>
      <c r="M53" s="5">
        <f>IF(AND(ISNUMBER(N53),ISNUMBER(L53),L53&gt;0),ROUND(N53/L53,2),"")</f>
        <v>4739.75</v>
      </c>
      <c r="N53" s="6">
        <v>724186</v>
      </c>
      <c r="O53" s="7">
        <v>905232.04</v>
      </c>
      <c r="P53" s="8">
        <f>IF(AND(ISNUMBER(N53),ISNUMBER(O53),O53&gt;0),N53/O53,"")</f>
        <v>0.800000406525602</v>
      </c>
      <c r="Q53" s="9" t="s">
        <v>7</v>
      </c>
      <c r="R53" s="9" t="s">
        <v>206</v>
      </c>
    </row>
    <row r="54" spans="1:18" x14ac:dyDescent="0.25">
      <c r="A54" s="2" t="s">
        <v>34</v>
      </c>
      <c r="B54" s="2" t="s">
        <v>35</v>
      </c>
      <c r="C54" s="2" t="s">
        <v>190</v>
      </c>
      <c r="D54" s="2" t="s">
        <v>207</v>
      </c>
      <c r="E54" s="2" t="s">
        <v>208</v>
      </c>
      <c r="F54" s="2" t="s">
        <v>181</v>
      </c>
      <c r="G54" s="2" t="s">
        <v>137</v>
      </c>
      <c r="H54" s="2" t="s">
        <v>85</v>
      </c>
      <c r="I54" s="3">
        <v>46282.41666666667</v>
      </c>
      <c r="J54" s="2" t="s">
        <v>42</v>
      </c>
      <c r="K54" s="2" t="s">
        <v>193</v>
      </c>
      <c r="L54" s="4">
        <v>122.68</v>
      </c>
      <c r="M54" s="5">
        <f>IF(AND(ISNUMBER(N54),ISNUMBER(L54),L54&gt;0),ROUND(N54/L54,2),"")</f>
        <v>4200</v>
      </c>
      <c r="N54" s="6">
        <v>515256</v>
      </c>
      <c r="O54" s="7">
        <v>920100</v>
      </c>
      <c r="P54" s="8">
        <f>IF(AND(ISNUMBER(N54),ISNUMBER(O54),O54&gt;0),N54/O54,"")</f>
        <v>0.56</v>
      </c>
      <c r="Q54" s="9" t="s">
        <v>7</v>
      </c>
      <c r="R54" s="9" t="s">
        <v>209</v>
      </c>
    </row>
    <row r="55" spans="1:18" x14ac:dyDescent="0.25">
      <c r="A55" s="2" t="s">
        <v>34</v>
      </c>
      <c r="B55" s="2" t="s">
        <v>35</v>
      </c>
      <c r="C55" s="2" t="s">
        <v>210</v>
      </c>
      <c r="D55" s="2" t="s">
        <v>211</v>
      </c>
      <c r="E55" s="2" t="s">
        <v>212</v>
      </c>
      <c r="F55" s="2" t="s">
        <v>39</v>
      </c>
      <c r="G55" s="2" t="s">
        <v>137</v>
      </c>
      <c r="H55" s="2" t="s">
        <v>41</v>
      </c>
      <c r="I55" s="3">
        <v>46297.41666666667</v>
      </c>
      <c r="J55" s="2" t="s">
        <v>42</v>
      </c>
      <c r="K55" s="2" t="s">
        <v>213</v>
      </c>
      <c r="L55" s="4">
        <v>89.56</v>
      </c>
      <c r="M55" s="5">
        <f>IF(AND(ISNUMBER(N55),ISNUMBER(L55),L55&gt;0),ROUND(N55/L55,2),"")</f>
        <v>3081.73</v>
      </c>
      <c r="N55" s="6">
        <v>276000</v>
      </c>
      <c r="O55" s="7">
        <v>345000</v>
      </c>
      <c r="P55" s="8">
        <f>IF(AND(ISNUMBER(N55),ISNUMBER(O55),O55&gt;0),N55/O55,"")</f>
        <v>0.8</v>
      </c>
      <c r="Q55" s="2" t="s">
        <v>214</v>
      </c>
      <c r="R55" s="9" t="s">
        <v>215</v>
      </c>
    </row>
    <row r="56" spans="1:18" x14ac:dyDescent="0.25">
      <c r="A56" s="2" t="s">
        <v>34</v>
      </c>
      <c r="B56" s="2" t="s">
        <v>35</v>
      </c>
      <c r="C56" s="2" t="s">
        <v>91</v>
      </c>
      <c r="D56" s="2" t="s">
        <v>216</v>
      </c>
      <c r="E56" s="2" t="s">
        <v>217</v>
      </c>
      <c r="F56" s="2" t="s">
        <v>39</v>
      </c>
      <c r="G56" s="2" t="s">
        <v>137</v>
      </c>
      <c r="H56" s="2" t="s">
        <v>41</v>
      </c>
      <c r="I56" s="3">
        <v>46297.41666666667</v>
      </c>
      <c r="J56" s="2" t="s">
        <v>42</v>
      </c>
      <c r="K56" s="2" t="s">
        <v>94</v>
      </c>
      <c r="L56" s="4">
        <v>200.55</v>
      </c>
      <c r="M56" s="5">
        <f>IF(AND(ISNUMBER(N56),ISNUMBER(L56),L56&gt;0),ROUND(N56/L56,2),"")</f>
        <v>8240.14</v>
      </c>
      <c r="N56" s="6">
        <v>1652560</v>
      </c>
      <c r="O56" s="7">
        <v>2065700</v>
      </c>
      <c r="P56" s="8">
        <f>IF(AND(ISNUMBER(N56),ISNUMBER(O56),O56&gt;0),N56/O56,"")</f>
        <v>0.8</v>
      </c>
      <c r="Q56" s="9" t="s">
        <v>7</v>
      </c>
      <c r="R56" s="9" t="s">
        <v>218</v>
      </c>
    </row>
    <row r="57" spans="1:18" x14ac:dyDescent="0.25">
      <c r="A57" s="2" t="s">
        <v>34</v>
      </c>
      <c r="B57" s="2" t="s">
        <v>35</v>
      </c>
      <c r="C57" s="2" t="s">
        <v>186</v>
      </c>
      <c r="D57" s="2" t="s">
        <v>219</v>
      </c>
      <c r="E57" s="2" t="s">
        <v>220</v>
      </c>
      <c r="F57" s="2" t="s">
        <v>39</v>
      </c>
      <c r="G57" s="2" t="s">
        <v>137</v>
      </c>
      <c r="H57" s="2" t="s">
        <v>85</v>
      </c>
      <c r="I57" s="3">
        <v>46282.41666666667</v>
      </c>
      <c r="J57" s="2" t="s">
        <v>42</v>
      </c>
      <c r="K57" s="2" t="s">
        <v>213</v>
      </c>
      <c r="L57" s="4">
        <v>156.73</v>
      </c>
      <c r="M57" s="5">
        <f>IF(AND(ISNUMBER(N57),ISNUMBER(L57),L57&gt;0),ROUND(N57/L57,2),"")</f>
        <v>12247.97</v>
      </c>
      <c r="N57" s="6">
        <v>1919624</v>
      </c>
      <c r="O57" s="7">
        <v>3427900</v>
      </c>
      <c r="P57" s="8">
        <f>IF(AND(ISNUMBER(N57),ISNUMBER(O57),O57&gt;0),N57/O57,"")</f>
        <v>0.56</v>
      </c>
      <c r="Q57" s="2" t="s">
        <v>221</v>
      </c>
      <c r="R57" s="9" t="s">
        <v>222</v>
      </c>
    </row>
    <row r="58" spans="1:18" x14ac:dyDescent="0.25">
      <c r="A58" s="2" t="s">
        <v>34</v>
      </c>
      <c r="B58" s="2" t="s">
        <v>35</v>
      </c>
      <c r="C58" s="2" t="s">
        <v>83</v>
      </c>
      <c r="D58" s="2" t="s">
        <v>223</v>
      </c>
      <c r="E58" s="2" t="s">
        <v>224</v>
      </c>
      <c r="F58" s="2" t="s">
        <v>136</v>
      </c>
      <c r="G58" s="2" t="s">
        <v>137</v>
      </c>
      <c r="H58" s="2" t="s">
        <v>41</v>
      </c>
      <c r="I58" s="3">
        <v>46297.41666666667</v>
      </c>
      <c r="J58" s="2" t="s">
        <v>42</v>
      </c>
      <c r="K58" s="2" t="s">
        <v>159</v>
      </c>
      <c r="L58" s="4">
        <v>125.39</v>
      </c>
      <c r="M58" s="5">
        <f>IF(AND(ISNUMBER(N58),ISNUMBER(L58),L58&gt;0),ROUND(N58/L58,2),"")</f>
        <v>4968.5</v>
      </c>
      <c r="N58" s="6">
        <v>623000</v>
      </c>
      <c r="O58" s="7">
        <v>889548</v>
      </c>
      <c r="P58" s="8">
        <f>IF(AND(ISNUMBER(N58),ISNUMBER(O58),O58&gt;0),N58/O58,"")</f>
        <v>0.7003556862586392</v>
      </c>
      <c r="Q58" s="9" t="s">
        <v>7</v>
      </c>
      <c r="R58" s="9" t="s">
        <v>225</v>
      </c>
    </row>
    <row r="59" spans="1:18" x14ac:dyDescent="0.25">
      <c r="A59" s="2" t="s">
        <v>34</v>
      </c>
      <c r="B59" s="2" t="s">
        <v>35</v>
      </c>
      <c r="C59" s="2" t="s">
        <v>83</v>
      </c>
      <c r="D59" s="2" t="s">
        <v>226</v>
      </c>
      <c r="E59" s="2" t="s">
        <v>227</v>
      </c>
      <c r="F59" s="2" t="s">
        <v>39</v>
      </c>
      <c r="G59" s="2" t="s">
        <v>137</v>
      </c>
      <c r="H59" s="2" t="s">
        <v>85</v>
      </c>
      <c r="I59" s="3">
        <v>46282.41666666667</v>
      </c>
      <c r="J59" s="2" t="s">
        <v>42</v>
      </c>
      <c r="K59" s="2" t="s">
        <v>159</v>
      </c>
      <c r="L59" s="4">
        <v>131.6</v>
      </c>
      <c r="M59" s="5">
        <f>IF(AND(ISNUMBER(N59),ISNUMBER(L59),L59&gt;0),ROUND(N59/L59,2),"")</f>
        <v>3525.84</v>
      </c>
      <c r="N59" s="6">
        <v>464000</v>
      </c>
      <c r="O59" s="7">
        <v>826909</v>
      </c>
      <c r="P59" s="8">
        <f>IF(AND(ISNUMBER(N59),ISNUMBER(O59),O59&gt;0),N59/O59,"")</f>
        <v>0.5611258312583368</v>
      </c>
      <c r="Q59" s="9" t="s">
        <v>7</v>
      </c>
      <c r="R59" s="9" t="s">
        <v>228</v>
      </c>
    </row>
    <row r="60" spans="1:18" x14ac:dyDescent="0.25">
      <c r="A60" s="2" t="s">
        <v>34</v>
      </c>
      <c r="B60" s="2" t="s">
        <v>35</v>
      </c>
      <c r="C60" s="2" t="s">
        <v>170</v>
      </c>
      <c r="D60" s="2" t="s">
        <v>229</v>
      </c>
      <c r="E60" s="2" t="s">
        <v>202</v>
      </c>
      <c r="F60" s="2" t="s">
        <v>39</v>
      </c>
      <c r="G60" s="2" t="s">
        <v>137</v>
      </c>
      <c r="H60" s="2" t="s">
        <v>85</v>
      </c>
      <c r="I60" s="3">
        <v>46282.41666666667</v>
      </c>
      <c r="J60" s="2" t="s">
        <v>42</v>
      </c>
      <c r="K60" s="2" t="s">
        <v>173</v>
      </c>
      <c r="L60" s="4">
        <v>105.78</v>
      </c>
      <c r="M60" s="5">
        <f>IF(AND(ISNUMBER(N60),ISNUMBER(L60),L60&gt;0),ROUND(N60/L60,2),"")</f>
        <v>9302.33</v>
      </c>
      <c r="N60" s="6">
        <v>984000</v>
      </c>
      <c r="O60" s="7">
        <v>1230000</v>
      </c>
      <c r="P60" s="8">
        <f>IF(AND(ISNUMBER(N60),ISNUMBER(O60),O60&gt;0),N60/O60,"")</f>
        <v>0.8</v>
      </c>
      <c r="Q60" s="9" t="s">
        <v>7</v>
      </c>
      <c r="R60" s="9" t="s">
        <v>230</v>
      </c>
    </row>
    <row r="61" spans="1:18" x14ac:dyDescent="0.25">
      <c r="A61" s="2" t="s">
        <v>34</v>
      </c>
      <c r="B61" s="2" t="s">
        <v>35</v>
      </c>
      <c r="C61" s="2" t="s">
        <v>147</v>
      </c>
      <c r="D61" s="2" t="s">
        <v>231</v>
      </c>
      <c r="E61" s="2" t="s">
        <v>232</v>
      </c>
      <c r="F61" s="2" t="s">
        <v>39</v>
      </c>
      <c r="G61" s="2" t="s">
        <v>137</v>
      </c>
      <c r="H61" s="2" t="s">
        <v>41</v>
      </c>
      <c r="I61" s="3">
        <v>46310.41666666667</v>
      </c>
      <c r="J61" s="2" t="s">
        <v>42</v>
      </c>
      <c r="K61" s="2" t="s">
        <v>151</v>
      </c>
      <c r="L61" s="4">
        <v>44.64</v>
      </c>
      <c r="M61" s="5">
        <f>IF(AND(ISNUMBER(N61),ISNUMBER(L61),L61&gt;0),ROUND(N61/L61,2),"")</f>
        <v>15400</v>
      </c>
      <c r="N61" s="6">
        <v>687456</v>
      </c>
      <c r="O61" s="7">
        <v>982080</v>
      </c>
      <c r="P61" s="8">
        <f>IF(AND(ISNUMBER(N61),ISNUMBER(O61),O61&gt;0),N61/O61,"")</f>
        <v>0.7</v>
      </c>
      <c r="Q61" s="9" t="s">
        <v>7</v>
      </c>
      <c r="R61" s="9" t="s">
        <v>233</v>
      </c>
    </row>
    <row r="62" spans="1:18" x14ac:dyDescent="0.25">
      <c r="A62" s="2" t="s">
        <v>34</v>
      </c>
      <c r="B62" s="2" t="s">
        <v>35</v>
      </c>
      <c r="C62" s="2" t="s">
        <v>190</v>
      </c>
      <c r="D62" s="2" t="s">
        <v>234</v>
      </c>
      <c r="E62" s="2" t="s">
        <v>235</v>
      </c>
      <c r="F62" s="2" t="s">
        <v>39</v>
      </c>
      <c r="G62" s="2" t="s">
        <v>137</v>
      </c>
      <c r="H62" s="2" t="s">
        <v>85</v>
      </c>
      <c r="I62" s="3">
        <v>46282.41666666667</v>
      </c>
      <c r="J62" s="2" t="s">
        <v>42</v>
      </c>
      <c r="K62" s="2" t="s">
        <v>193</v>
      </c>
      <c r="L62" s="4">
        <v>137.57</v>
      </c>
      <c r="M62" s="5">
        <f>IF(AND(ISNUMBER(N62),ISNUMBER(L62),L62&gt;0),ROUND(N62/L62,2),"")</f>
        <v>2189.6</v>
      </c>
      <c r="N62" s="6">
        <v>301223.3</v>
      </c>
      <c r="O62" s="7">
        <v>537898.75</v>
      </c>
      <c r="P62" s="8">
        <f>IF(AND(ISNUMBER(N62),ISNUMBER(O62),O62&gt;0),N62/O62,"")</f>
        <v>0.5599999999999999</v>
      </c>
      <c r="Q62" s="2" t="s">
        <v>236</v>
      </c>
      <c r="R62" s="9" t="s">
        <v>237</v>
      </c>
    </row>
    <row r="63" spans="1:18" x14ac:dyDescent="0.25">
      <c r="A63" s="2" t="s">
        <v>34</v>
      </c>
      <c r="B63" s="2" t="s">
        <v>35</v>
      </c>
      <c r="C63" s="2" t="s">
        <v>190</v>
      </c>
      <c r="D63" s="2" t="s">
        <v>238</v>
      </c>
      <c r="E63" s="2" t="s">
        <v>239</v>
      </c>
      <c r="F63" s="2" t="s">
        <v>39</v>
      </c>
      <c r="G63" s="2" t="s">
        <v>137</v>
      </c>
      <c r="H63" s="2" t="s">
        <v>85</v>
      </c>
      <c r="I63" s="3">
        <v>46282.41666666667</v>
      </c>
      <c r="J63" s="2" t="s">
        <v>42</v>
      </c>
      <c r="K63" s="2" t="s">
        <v>193</v>
      </c>
      <c r="L63" s="4">
        <v>137.91</v>
      </c>
      <c r="M63" s="5">
        <f>IF(AND(ISNUMBER(N63),ISNUMBER(L63),L63&gt;0),ROUND(N63/L63,2),"")</f>
        <v>2310.4</v>
      </c>
      <c r="N63" s="6">
        <v>318627.3</v>
      </c>
      <c r="O63" s="7">
        <v>497855.15</v>
      </c>
      <c r="P63" s="8">
        <f>IF(AND(ISNUMBER(N63),ISNUMBER(O63),O63&gt;0),N63/O63,"")</f>
        <v>0.6400000080344654</v>
      </c>
      <c r="Q63" s="2" t="s">
        <v>174</v>
      </c>
      <c r="R63" s="9" t="s">
        <v>240</v>
      </c>
    </row>
    <row r="64" spans="1:18" x14ac:dyDescent="0.25">
      <c r="A64" s="2" t="s">
        <v>34</v>
      </c>
      <c r="B64" s="2" t="s">
        <v>35</v>
      </c>
      <c r="C64" s="2" t="s">
        <v>101</v>
      </c>
      <c r="D64" s="2" t="s">
        <v>241</v>
      </c>
      <c r="E64" s="2" t="s">
        <v>242</v>
      </c>
      <c r="F64" s="2" t="s">
        <v>39</v>
      </c>
      <c r="G64" s="2" t="s">
        <v>137</v>
      </c>
      <c r="H64" s="2" t="s">
        <v>41</v>
      </c>
      <c r="I64" s="3">
        <v>46303.41666666667</v>
      </c>
      <c r="J64" s="2" t="s">
        <v>42</v>
      </c>
      <c r="K64" s="2" t="s">
        <v>243</v>
      </c>
      <c r="L64" s="4">
        <v>38.38</v>
      </c>
      <c r="M64" s="5">
        <f>IF(AND(ISNUMBER(N64),ISNUMBER(L64),L64&gt;0),ROUND(N64/L64,2),"")</f>
        <v>6720.01</v>
      </c>
      <c r="N64" s="6">
        <v>257914</v>
      </c>
      <c r="O64" s="7">
        <v>368448</v>
      </c>
      <c r="P64" s="8">
        <f>IF(AND(ISNUMBER(N64),ISNUMBER(O64),O64&gt;0),N64/O64,"")</f>
        <v>0.7000010856348793</v>
      </c>
      <c r="Q64" s="9" t="s">
        <v>7</v>
      </c>
      <c r="R64" s="9" t="s">
        <v>244</v>
      </c>
    </row>
    <row r="65" spans="1:18" x14ac:dyDescent="0.25">
      <c r="A65" s="2" t="s">
        <v>34</v>
      </c>
      <c r="B65" s="2" t="s">
        <v>35</v>
      </c>
      <c r="C65" s="2" t="s">
        <v>190</v>
      </c>
      <c r="D65" s="2" t="s">
        <v>245</v>
      </c>
      <c r="E65" s="2" t="s">
        <v>246</v>
      </c>
      <c r="F65" s="2" t="s">
        <v>39</v>
      </c>
      <c r="G65" s="2" t="s">
        <v>137</v>
      </c>
      <c r="H65" s="2" t="s">
        <v>85</v>
      </c>
      <c r="I65" s="3">
        <v>46282.41666666667</v>
      </c>
      <c r="J65" s="2" t="s">
        <v>42</v>
      </c>
      <c r="K65" s="2" t="s">
        <v>193</v>
      </c>
      <c r="L65" s="4">
        <v>132.69</v>
      </c>
      <c r="M65" s="5">
        <f>IF(AND(ISNUMBER(N65),ISNUMBER(L65),L65&gt;0),ROUND(N65/L65,2),"")</f>
        <v>3759.56</v>
      </c>
      <c r="N65" s="6">
        <v>498856.18</v>
      </c>
      <c r="O65" s="7">
        <v>890814.62</v>
      </c>
      <c r="P65" s="8">
        <f>IF(AND(ISNUMBER(N65),ISNUMBER(O65),O65&gt;0),N65/O65,"")</f>
        <v>0.5599999919175103</v>
      </c>
      <c r="Q65" s="9" t="s">
        <v>7</v>
      </c>
      <c r="R65" s="9" t="s">
        <v>247</v>
      </c>
    </row>
    <row r="66" spans="1:18" x14ac:dyDescent="0.25">
      <c r="A66" s="2" t="s">
        <v>34</v>
      </c>
      <c r="B66" s="2" t="s">
        <v>35</v>
      </c>
      <c r="C66" s="2" t="s">
        <v>190</v>
      </c>
      <c r="D66" s="2" t="s">
        <v>248</v>
      </c>
      <c r="E66" s="2" t="s">
        <v>249</v>
      </c>
      <c r="F66" s="2" t="s">
        <v>39</v>
      </c>
      <c r="G66" s="2" t="s">
        <v>137</v>
      </c>
      <c r="H66" s="2" t="s">
        <v>85</v>
      </c>
      <c r="I66" s="3">
        <v>46282.41666666667</v>
      </c>
      <c r="J66" s="2" t="s">
        <v>42</v>
      </c>
      <c r="K66" s="2" t="s">
        <v>193</v>
      </c>
      <c r="L66" s="4">
        <v>146.84</v>
      </c>
      <c r="M66" s="5">
        <f>IF(AND(ISNUMBER(N66),ISNUMBER(L66),L66&gt;0),ROUND(N66/L66,2),"")</f>
        <v>2488.04</v>
      </c>
      <c r="N66" s="6">
        <v>365344.17</v>
      </c>
      <c r="O66" s="7">
        <v>652400.3</v>
      </c>
      <c r="P66" s="8">
        <f>IF(AND(ISNUMBER(N66),ISNUMBER(O66),O66&gt;0),N66/O66,"")</f>
        <v>0.5600000030656025</v>
      </c>
      <c r="Q66" s="2" t="s">
        <v>194</v>
      </c>
      <c r="R66" s="9" t="s">
        <v>250</v>
      </c>
    </row>
    <row r="67" spans="1:18" x14ac:dyDescent="0.25">
      <c r="A67" s="2" t="s">
        <v>34</v>
      </c>
      <c r="B67" s="2" t="s">
        <v>35</v>
      </c>
      <c r="C67" s="2" t="s">
        <v>190</v>
      </c>
      <c r="D67" s="2" t="s">
        <v>251</v>
      </c>
      <c r="E67" s="2" t="s">
        <v>239</v>
      </c>
      <c r="F67" s="2" t="s">
        <v>39</v>
      </c>
      <c r="G67" s="2" t="s">
        <v>137</v>
      </c>
      <c r="H67" s="2" t="s">
        <v>85</v>
      </c>
      <c r="I67" s="3">
        <v>46282.41666666667</v>
      </c>
      <c r="J67" s="2" t="s">
        <v>42</v>
      </c>
      <c r="K67" s="2" t="s">
        <v>193</v>
      </c>
      <c r="L67" s="4">
        <v>90.2</v>
      </c>
      <c r="M67" s="5">
        <f>IF(AND(ISNUMBER(N67),ISNUMBER(L67),L67&gt;0),ROUND(N67/L67,2),"")</f>
        <v>2477.12</v>
      </c>
      <c r="N67" s="6">
        <v>223436.48</v>
      </c>
      <c r="O67" s="7">
        <v>349119.5</v>
      </c>
      <c r="P67" s="8">
        <f>IF(AND(ISNUMBER(N67),ISNUMBER(O67),O67&gt;0),N67/O67,"")</f>
        <v>0.64</v>
      </c>
      <c r="Q67" s="2" t="s">
        <v>214</v>
      </c>
      <c r="R67" s="9" t="s">
        <v>252</v>
      </c>
    </row>
    <row r="68" spans="1:18" x14ac:dyDescent="0.25">
      <c r="A68" s="2" t="s">
        <v>34</v>
      </c>
      <c r="B68" s="2" t="s">
        <v>35</v>
      </c>
      <c r="C68" s="2" t="s">
        <v>106</v>
      </c>
      <c r="D68" s="2" t="s">
        <v>253</v>
      </c>
      <c r="E68" s="2" t="s">
        <v>254</v>
      </c>
      <c r="F68" s="2" t="s">
        <v>39</v>
      </c>
      <c r="G68" s="2" t="s">
        <v>137</v>
      </c>
      <c r="H68" s="2" t="s">
        <v>85</v>
      </c>
      <c r="I68" s="3">
        <v>46282.41666666667</v>
      </c>
      <c r="J68" s="2" t="s">
        <v>42</v>
      </c>
      <c r="K68" s="2" t="s">
        <v>213</v>
      </c>
      <c r="L68" s="4">
        <v>67.95</v>
      </c>
      <c r="M68" s="5">
        <f>IF(AND(ISNUMBER(N68),ISNUMBER(L68),L68&gt;0),ROUND(N68/L68,2),"")</f>
        <v>10790.99</v>
      </c>
      <c r="N68" s="6">
        <v>733248</v>
      </c>
      <c r="O68" s="7">
        <v>1145700</v>
      </c>
      <c r="P68" s="8">
        <f>IF(AND(ISNUMBER(N68),ISNUMBER(O68),O68&gt;0),N68/O68,"")</f>
        <v>0.64</v>
      </c>
      <c r="Q68" s="2" t="s">
        <v>214</v>
      </c>
      <c r="R68" s="9" t="s">
        <v>255</v>
      </c>
    </row>
    <row r="69" spans="1:18" x14ac:dyDescent="0.25">
      <c r="A69" s="2" t="s">
        <v>34</v>
      </c>
      <c r="B69" s="2" t="s">
        <v>35</v>
      </c>
      <c r="C69" s="2" t="s">
        <v>210</v>
      </c>
      <c r="D69" s="2" t="s">
        <v>256</v>
      </c>
      <c r="E69" s="2" t="s">
        <v>257</v>
      </c>
      <c r="F69" s="2" t="s">
        <v>39</v>
      </c>
      <c r="G69" s="2" t="s">
        <v>137</v>
      </c>
      <c r="H69" s="2" t="s">
        <v>85</v>
      </c>
      <c r="I69" s="3">
        <v>46282.41666666667</v>
      </c>
      <c r="J69" s="2" t="s">
        <v>42</v>
      </c>
      <c r="K69" s="2" t="s">
        <v>213</v>
      </c>
      <c r="L69" s="4">
        <v>120.23</v>
      </c>
      <c r="M69" s="5">
        <f>IF(AND(ISNUMBER(N69),ISNUMBER(L69),L69&gt;0),ROUND(N69/L69,2),"")</f>
        <v>4026.42</v>
      </c>
      <c r="N69" s="6">
        <v>484096</v>
      </c>
      <c r="O69" s="7">
        <v>756400</v>
      </c>
      <c r="P69" s="8">
        <f>IF(AND(ISNUMBER(N69),ISNUMBER(O69),O69&gt;0),N69/O69,"")</f>
        <v>0.64</v>
      </c>
      <c r="Q69" s="2" t="s">
        <v>194</v>
      </c>
      <c r="R69" s="9" t="s">
        <v>258</v>
      </c>
    </row>
    <row r="70" spans="1:18" x14ac:dyDescent="0.25">
      <c r="A70" s="2" t="s">
        <v>34</v>
      </c>
      <c r="B70" s="2" t="s">
        <v>35</v>
      </c>
      <c r="C70" s="2" t="s">
        <v>186</v>
      </c>
      <c r="D70" s="2" t="s">
        <v>259</v>
      </c>
      <c r="E70" s="2" t="s">
        <v>260</v>
      </c>
      <c r="F70" s="2" t="s">
        <v>39</v>
      </c>
      <c r="G70" s="2" t="s">
        <v>137</v>
      </c>
      <c r="H70" s="2" t="s">
        <v>41</v>
      </c>
      <c r="I70" s="3">
        <v>46303.41666666667</v>
      </c>
      <c r="J70" s="2" t="s">
        <v>42</v>
      </c>
      <c r="K70" s="2" t="s">
        <v>213</v>
      </c>
      <c r="L70" s="4">
        <v>48.76</v>
      </c>
      <c r="M70" s="5">
        <f>IF(AND(ISNUMBER(N70),ISNUMBER(L70),L70&gt;0),ROUND(N70/L70,2),"")</f>
        <v>17960.62</v>
      </c>
      <c r="N70" s="6">
        <v>875760</v>
      </c>
      <c r="O70" s="7">
        <v>1094700</v>
      </c>
      <c r="P70" s="8">
        <f>IF(AND(ISNUMBER(N70),ISNUMBER(O70),O70&gt;0),N70/O70,"")</f>
        <v>0.8</v>
      </c>
      <c r="Q70" s="2" t="s">
        <v>261</v>
      </c>
      <c r="R70" s="9" t="s">
        <v>262</v>
      </c>
    </row>
    <row r="71" spans="1:18" x14ac:dyDescent="0.25">
      <c r="A71" s="2" t="s">
        <v>34</v>
      </c>
      <c r="B71" s="2" t="s">
        <v>35</v>
      </c>
      <c r="C71" s="2" t="s">
        <v>133</v>
      </c>
      <c r="D71" s="2" t="s">
        <v>263</v>
      </c>
      <c r="E71" s="2" t="s">
        <v>264</v>
      </c>
      <c r="F71" s="2" t="s">
        <v>39</v>
      </c>
      <c r="G71" s="2" t="s">
        <v>137</v>
      </c>
      <c r="H71" s="2" t="s">
        <v>41</v>
      </c>
      <c r="I71" s="3">
        <v>46307.41666666667</v>
      </c>
      <c r="J71" s="2" t="s">
        <v>42</v>
      </c>
      <c r="K71" s="2" t="s">
        <v>138</v>
      </c>
      <c r="L71" s="4">
        <v>615.24</v>
      </c>
      <c r="M71" s="5">
        <f>IF(AND(ISNUMBER(N71),ISNUMBER(L71),L71&gt;0),ROUND(N71/L71,2),"")</f>
        <v>1338.01</v>
      </c>
      <c r="N71" s="6">
        <v>823200</v>
      </c>
      <c r="O71" s="7">
        <v>1176000</v>
      </c>
      <c r="P71" s="8">
        <f>IF(AND(ISNUMBER(N71),ISNUMBER(O71),O71&gt;0),N71/O71,"")</f>
        <v>0.7</v>
      </c>
      <c r="Q71" s="9" t="s">
        <v>7</v>
      </c>
      <c r="R71" s="9" t="s">
        <v>265</v>
      </c>
    </row>
    <row r="72" spans="1:18" x14ac:dyDescent="0.25">
      <c r="A72" s="2" t="s">
        <v>34</v>
      </c>
      <c r="B72" s="2" t="s">
        <v>114</v>
      </c>
      <c r="C72" s="2" t="s">
        <v>266</v>
      </c>
      <c r="D72" s="2" t="s">
        <v>267</v>
      </c>
      <c r="E72" s="2" t="s">
        <v>268</v>
      </c>
      <c r="F72" s="2" t="s">
        <v>136</v>
      </c>
      <c r="G72" s="2" t="s">
        <v>137</v>
      </c>
      <c r="H72" s="2" t="s">
        <v>41</v>
      </c>
      <c r="I72" s="3">
        <v>46303.41666666667</v>
      </c>
      <c r="J72" s="2" t="s">
        <v>42</v>
      </c>
      <c r="K72" s="2" t="s">
        <v>269</v>
      </c>
      <c r="L72" s="10" t="s">
        <v>152</v>
      </c>
      <c r="M72" s="5" t="str">
        <f>IF(AND(ISNUMBER(N72),ISNUMBER(L72),L72&gt;0),ROUND(N72/L72,2),"")</f>
        <v/>
      </c>
      <c r="N72" s="6">
        <v>47523</v>
      </c>
      <c r="O72" s="7">
        <v>67890</v>
      </c>
      <c r="P72" s="8">
        <f>IF(AND(ISNUMBER(N72),ISNUMBER(O72),O72&gt;0),N72/O72,"")</f>
        <v>0.7</v>
      </c>
      <c r="Q72" s="2" t="s">
        <v>270</v>
      </c>
      <c r="R72" s="9" t="s">
        <v>271</v>
      </c>
    </row>
    <row r="73" spans="1:18" x14ac:dyDescent="0.25">
      <c r="A73" s="2" t="s">
        <v>34</v>
      </c>
      <c r="B73" s="2" t="s">
        <v>114</v>
      </c>
      <c r="C73" s="2" t="s">
        <v>266</v>
      </c>
      <c r="D73" s="2" t="s">
        <v>272</v>
      </c>
      <c r="E73" s="2" t="s">
        <v>268</v>
      </c>
      <c r="F73" s="2" t="s">
        <v>136</v>
      </c>
      <c r="G73" s="2" t="s">
        <v>137</v>
      </c>
      <c r="H73" s="2" t="s">
        <v>41</v>
      </c>
      <c r="I73" s="3">
        <v>46303.41666666667</v>
      </c>
      <c r="J73" s="2" t="s">
        <v>42</v>
      </c>
      <c r="K73" s="2" t="s">
        <v>269</v>
      </c>
      <c r="L73" s="10" t="s">
        <v>152</v>
      </c>
      <c r="M73" s="5" t="str">
        <f>IF(AND(ISNUMBER(N73),ISNUMBER(L73),L73&gt;0),ROUND(N73/L73,2),"")</f>
        <v/>
      </c>
      <c r="N73" s="6">
        <v>48949</v>
      </c>
      <c r="O73" s="7">
        <v>69927</v>
      </c>
      <c r="P73" s="8">
        <f>IF(AND(ISNUMBER(N73),ISNUMBER(O73),O73&gt;0),N73/O73,"")</f>
        <v>0.7000014300627797</v>
      </c>
      <c r="Q73" s="2" t="s">
        <v>270</v>
      </c>
      <c r="R73" s="9" t="s">
        <v>273</v>
      </c>
    </row>
    <row r="74" spans="1:18" x14ac:dyDescent="0.25">
      <c r="A74" s="2" t="s">
        <v>34</v>
      </c>
      <c r="B74" s="2" t="s">
        <v>114</v>
      </c>
      <c r="C74" s="2" t="s">
        <v>274</v>
      </c>
      <c r="D74" s="2" t="s">
        <v>275</v>
      </c>
      <c r="E74" s="2" t="s">
        <v>276</v>
      </c>
      <c r="F74" s="2" t="s">
        <v>39</v>
      </c>
      <c r="G74" s="2" t="s">
        <v>137</v>
      </c>
      <c r="H74" s="2" t="s">
        <v>85</v>
      </c>
      <c r="I74" s="3">
        <v>46296.41666666667</v>
      </c>
      <c r="J74" s="2" t="s">
        <v>42</v>
      </c>
      <c r="K74" s="2" t="s">
        <v>277</v>
      </c>
      <c r="L74" s="4">
        <v>110.14</v>
      </c>
      <c r="M74" s="5">
        <f>IF(AND(ISNUMBER(N74),ISNUMBER(L74),L74&gt;0),ROUND(N74/L74,2),"")</f>
        <v>2699.84</v>
      </c>
      <c r="N74" s="6">
        <v>297360</v>
      </c>
      <c r="O74" s="7">
        <v>531000</v>
      </c>
      <c r="P74" s="8">
        <f>IF(AND(ISNUMBER(N74),ISNUMBER(O74),O74&gt;0),N74/O74,"")</f>
        <v>0.56</v>
      </c>
      <c r="Q74" s="9" t="s">
        <v>7</v>
      </c>
      <c r="R74" s="9" t="s">
        <v>278</v>
      </c>
    </row>
    <row r="75" spans="1:18" x14ac:dyDescent="0.25">
      <c r="A75" s="2" t="s">
        <v>34</v>
      </c>
      <c r="B75" s="2" t="s">
        <v>114</v>
      </c>
      <c r="C75" s="2" t="s">
        <v>266</v>
      </c>
      <c r="D75" s="2" t="s">
        <v>279</v>
      </c>
      <c r="E75" s="2" t="s">
        <v>268</v>
      </c>
      <c r="F75" s="2" t="s">
        <v>136</v>
      </c>
      <c r="G75" s="2" t="s">
        <v>137</v>
      </c>
      <c r="H75" s="2" t="s">
        <v>41</v>
      </c>
      <c r="I75" s="3">
        <v>46303.41666666667</v>
      </c>
      <c r="J75" s="2" t="s">
        <v>42</v>
      </c>
      <c r="K75" s="2" t="s">
        <v>269</v>
      </c>
      <c r="L75" s="10" t="s">
        <v>152</v>
      </c>
      <c r="M75" s="5" t="str">
        <f>IF(AND(ISNUMBER(N75),ISNUMBER(L75),L75&gt;0),ROUND(N75/L75,2),"")</f>
        <v/>
      </c>
      <c r="N75" s="6">
        <v>48949</v>
      </c>
      <c r="O75" s="7">
        <v>69927</v>
      </c>
      <c r="P75" s="8">
        <f>IF(AND(ISNUMBER(N75),ISNUMBER(O75),O75&gt;0),N75/O75,"")</f>
        <v>0.7000014300627797</v>
      </c>
      <c r="Q75" s="2" t="s">
        <v>270</v>
      </c>
      <c r="R75" s="9" t="s">
        <v>280</v>
      </c>
    </row>
    <row r="76" spans="1:18" x14ac:dyDescent="0.25">
      <c r="A76" s="2" t="s">
        <v>34</v>
      </c>
      <c r="B76" s="2" t="s">
        <v>114</v>
      </c>
      <c r="C76" s="2" t="s">
        <v>266</v>
      </c>
      <c r="D76" s="2" t="s">
        <v>281</v>
      </c>
      <c r="E76" s="2" t="s">
        <v>268</v>
      </c>
      <c r="F76" s="2" t="s">
        <v>136</v>
      </c>
      <c r="G76" s="2" t="s">
        <v>137</v>
      </c>
      <c r="H76" s="2" t="s">
        <v>41</v>
      </c>
      <c r="I76" s="3">
        <v>46303.41666666667</v>
      </c>
      <c r="J76" s="2" t="s">
        <v>42</v>
      </c>
      <c r="K76" s="2" t="s">
        <v>269</v>
      </c>
      <c r="L76" s="10" t="s">
        <v>152</v>
      </c>
      <c r="M76" s="5" t="str">
        <f>IF(AND(ISNUMBER(N76),ISNUMBER(L76),L76&gt;0),ROUND(N76/L76,2),"")</f>
        <v/>
      </c>
      <c r="N76" s="6">
        <v>47523</v>
      </c>
      <c r="O76" s="7">
        <v>67890</v>
      </c>
      <c r="P76" s="8">
        <f>IF(AND(ISNUMBER(N76),ISNUMBER(O76),O76&gt;0),N76/O76,"")</f>
        <v>0.7</v>
      </c>
      <c r="Q76" s="2" t="s">
        <v>270</v>
      </c>
      <c r="R76" s="9" t="s">
        <v>282</v>
      </c>
    </row>
    <row r="77" spans="1:18" x14ac:dyDescent="0.25">
      <c r="A77" s="2" t="s">
        <v>34</v>
      </c>
      <c r="B77" s="2" t="s">
        <v>114</v>
      </c>
      <c r="C77" s="2" t="s">
        <v>266</v>
      </c>
      <c r="D77" s="2" t="s">
        <v>283</v>
      </c>
      <c r="E77" s="2" t="s">
        <v>268</v>
      </c>
      <c r="F77" s="2" t="s">
        <v>39</v>
      </c>
      <c r="G77" s="2" t="s">
        <v>137</v>
      </c>
      <c r="H77" s="2" t="s">
        <v>41</v>
      </c>
      <c r="I77" s="3">
        <v>46303.41666666667</v>
      </c>
      <c r="J77" s="2" t="s">
        <v>42</v>
      </c>
      <c r="K77" s="2" t="s">
        <v>269</v>
      </c>
      <c r="L77" s="4">
        <v>126.88</v>
      </c>
      <c r="M77" s="5">
        <f>IF(AND(ISNUMBER(N77),ISNUMBER(L77),L77&gt;0),ROUND(N77/L77,2),"")</f>
        <v>5152.7</v>
      </c>
      <c r="N77" s="6">
        <v>653775</v>
      </c>
      <c r="O77" s="7">
        <v>933964</v>
      </c>
      <c r="P77" s="8">
        <f>IF(AND(ISNUMBER(N77),ISNUMBER(O77),O77&gt;0),N77/O77,"")</f>
        <v>0.7000002141410161</v>
      </c>
      <c r="Q77" s="9" t="s">
        <v>7</v>
      </c>
      <c r="R77" s="9" t="s">
        <v>284</v>
      </c>
    </row>
    <row r="78" spans="1:18" x14ac:dyDescent="0.25">
      <c r="A78" s="2" t="s">
        <v>34</v>
      </c>
      <c r="B78" s="2" t="s">
        <v>114</v>
      </c>
      <c r="C78" s="2" t="s">
        <v>274</v>
      </c>
      <c r="D78" s="2" t="s">
        <v>285</v>
      </c>
      <c r="E78" s="2" t="s">
        <v>276</v>
      </c>
      <c r="F78" s="2" t="s">
        <v>39</v>
      </c>
      <c r="G78" s="2" t="s">
        <v>137</v>
      </c>
      <c r="H78" s="2" t="s">
        <v>85</v>
      </c>
      <c r="I78" s="3">
        <v>46296.41666666667</v>
      </c>
      <c r="J78" s="2" t="s">
        <v>42</v>
      </c>
      <c r="K78" s="2" t="s">
        <v>277</v>
      </c>
      <c r="L78" s="4">
        <v>111.24</v>
      </c>
      <c r="M78" s="5">
        <f>IF(AND(ISNUMBER(N78),ISNUMBER(L78),L78&gt;0),ROUND(N78/L78,2),"")</f>
        <v>2703.34</v>
      </c>
      <c r="N78" s="6">
        <v>300720</v>
      </c>
      <c r="O78" s="7">
        <v>537000</v>
      </c>
      <c r="P78" s="8">
        <f>IF(AND(ISNUMBER(N78),ISNUMBER(O78),O78&gt;0),N78/O78,"")</f>
        <v>0.56</v>
      </c>
      <c r="Q78" s="9" t="s">
        <v>7</v>
      </c>
      <c r="R78" s="9" t="s">
        <v>286</v>
      </c>
    </row>
    <row r="79" spans="1:18" x14ac:dyDescent="0.25">
      <c r="A79" s="2" t="s">
        <v>34</v>
      </c>
      <c r="B79" s="2" t="s">
        <v>114</v>
      </c>
      <c r="C79" s="2" t="s">
        <v>274</v>
      </c>
      <c r="D79" s="2" t="s">
        <v>287</v>
      </c>
      <c r="E79" s="2" t="s">
        <v>276</v>
      </c>
      <c r="F79" s="2" t="s">
        <v>39</v>
      </c>
      <c r="G79" s="2" t="s">
        <v>137</v>
      </c>
      <c r="H79" s="2" t="s">
        <v>85</v>
      </c>
      <c r="I79" s="3">
        <v>46296.41666666667</v>
      </c>
      <c r="J79" s="2" t="s">
        <v>42</v>
      </c>
      <c r="K79" s="2" t="s">
        <v>277</v>
      </c>
      <c r="L79" s="4">
        <v>138.25</v>
      </c>
      <c r="M79" s="5">
        <f>IF(AND(ISNUMBER(N79),ISNUMBER(L79),L79&gt;0),ROUND(N79/L79,2),"")</f>
        <v>2596.46</v>
      </c>
      <c r="N79" s="6">
        <v>358960</v>
      </c>
      <c r="O79" s="7">
        <v>641000</v>
      </c>
      <c r="P79" s="8">
        <f>IF(AND(ISNUMBER(N79),ISNUMBER(O79),O79&gt;0),N79/O79,"")</f>
        <v>0.56</v>
      </c>
      <c r="Q79" s="9" t="s">
        <v>7</v>
      </c>
      <c r="R79" s="9" t="s">
        <v>288</v>
      </c>
    </row>
    <row r="80" spans="1:18" x14ac:dyDescent="0.25">
      <c r="A80" s="2" t="s">
        <v>34</v>
      </c>
      <c r="B80" s="2" t="s">
        <v>114</v>
      </c>
      <c r="C80" s="2" t="s">
        <v>266</v>
      </c>
      <c r="D80" s="2" t="s">
        <v>289</v>
      </c>
      <c r="E80" s="2" t="s">
        <v>268</v>
      </c>
      <c r="F80" s="2" t="s">
        <v>39</v>
      </c>
      <c r="G80" s="2" t="s">
        <v>137</v>
      </c>
      <c r="H80" s="2" t="s">
        <v>41</v>
      </c>
      <c r="I80" s="3">
        <v>46303.41666666667</v>
      </c>
      <c r="J80" s="2" t="s">
        <v>42</v>
      </c>
      <c r="K80" s="2" t="s">
        <v>269</v>
      </c>
      <c r="L80" s="4">
        <v>123.55</v>
      </c>
      <c r="M80" s="5">
        <f>IF(AND(ISNUMBER(N80),ISNUMBER(L80),L80&gt;0),ROUND(N80/L80,2),"")</f>
        <v>5152.71</v>
      </c>
      <c r="N80" s="6">
        <v>636617</v>
      </c>
      <c r="O80" s="7">
        <v>909452</v>
      </c>
      <c r="P80" s="8">
        <f>IF(AND(ISNUMBER(N80),ISNUMBER(O80),O80&gt;0),N80/O80,"")</f>
        <v>0.7000006597379521</v>
      </c>
      <c r="Q80" s="9" t="s">
        <v>7</v>
      </c>
      <c r="R80" s="9" t="s">
        <v>290</v>
      </c>
    </row>
    <row r="81" spans="1:18" x14ac:dyDescent="0.25">
      <c r="A81" s="2" t="s">
        <v>34</v>
      </c>
      <c r="B81" s="2" t="s">
        <v>114</v>
      </c>
      <c r="C81" s="2" t="s">
        <v>266</v>
      </c>
      <c r="D81" s="2" t="s">
        <v>291</v>
      </c>
      <c r="E81" s="2" t="s">
        <v>268</v>
      </c>
      <c r="F81" s="2" t="s">
        <v>136</v>
      </c>
      <c r="G81" s="2" t="s">
        <v>137</v>
      </c>
      <c r="H81" s="2" t="s">
        <v>41</v>
      </c>
      <c r="I81" s="3">
        <v>46303.41666666667</v>
      </c>
      <c r="J81" s="2" t="s">
        <v>42</v>
      </c>
      <c r="K81" s="2" t="s">
        <v>269</v>
      </c>
      <c r="L81" s="10" t="s">
        <v>152</v>
      </c>
      <c r="M81" s="5" t="str">
        <f>IF(AND(ISNUMBER(N81),ISNUMBER(L81),L81&gt;0),ROUND(N81/L81,2),"")</f>
        <v/>
      </c>
      <c r="N81" s="6">
        <v>48949</v>
      </c>
      <c r="O81" s="7">
        <v>69927</v>
      </c>
      <c r="P81" s="8">
        <f>IF(AND(ISNUMBER(N81),ISNUMBER(O81),O81&gt;0),N81/O81,"")</f>
        <v>0.7000014300627797</v>
      </c>
      <c r="Q81" s="2" t="s">
        <v>270</v>
      </c>
      <c r="R81" s="9" t="s">
        <v>292</v>
      </c>
    </row>
    <row r="82" spans="1:18" x14ac:dyDescent="0.25">
      <c r="A82" s="2" t="s">
        <v>34</v>
      </c>
      <c r="B82" s="2" t="s">
        <v>114</v>
      </c>
      <c r="C82" s="2" t="s">
        <v>274</v>
      </c>
      <c r="D82" s="2" t="s">
        <v>293</v>
      </c>
      <c r="E82" s="2" t="s">
        <v>294</v>
      </c>
      <c r="F82" s="2" t="s">
        <v>39</v>
      </c>
      <c r="G82" s="2" t="s">
        <v>137</v>
      </c>
      <c r="H82" s="2" t="s">
        <v>85</v>
      </c>
      <c r="I82" s="3">
        <v>46296.41666666667</v>
      </c>
      <c r="J82" s="2" t="s">
        <v>42</v>
      </c>
      <c r="K82" s="2" t="s">
        <v>277</v>
      </c>
      <c r="L82" s="4">
        <v>120.13</v>
      </c>
      <c r="M82" s="5">
        <f>IF(AND(ISNUMBER(N82),ISNUMBER(L82),L82&gt;0),ROUND(N82/L82,2),"")</f>
        <v>6160</v>
      </c>
      <c r="N82" s="6">
        <v>740001</v>
      </c>
      <c r="O82" s="7">
        <v>925001</v>
      </c>
      <c r="P82" s="8">
        <f>IF(AND(ISNUMBER(N82),ISNUMBER(O82),O82&gt;0),N82/O82,"")</f>
        <v>0.8000002162159825</v>
      </c>
      <c r="Q82" s="9" t="s">
        <v>7</v>
      </c>
      <c r="R82" s="9" t="s">
        <v>295</v>
      </c>
    </row>
    <row r="83" spans="1:18" x14ac:dyDescent="0.25">
      <c r="A83" s="2" t="s">
        <v>34</v>
      </c>
      <c r="B83" s="2" t="s">
        <v>114</v>
      </c>
      <c r="C83" s="2" t="s">
        <v>266</v>
      </c>
      <c r="D83" s="2" t="s">
        <v>296</v>
      </c>
      <c r="E83" s="2" t="s">
        <v>268</v>
      </c>
      <c r="F83" s="2" t="s">
        <v>136</v>
      </c>
      <c r="G83" s="2" t="s">
        <v>137</v>
      </c>
      <c r="H83" s="2" t="s">
        <v>41</v>
      </c>
      <c r="I83" s="3">
        <v>46303.41666666667</v>
      </c>
      <c r="J83" s="2" t="s">
        <v>42</v>
      </c>
      <c r="K83" s="2" t="s">
        <v>269</v>
      </c>
      <c r="L83" s="10" t="s">
        <v>152</v>
      </c>
      <c r="M83" s="5" t="str">
        <f>IF(AND(ISNUMBER(N83),ISNUMBER(L83),L83&gt;0),ROUND(N83/L83,2),"")</f>
        <v/>
      </c>
      <c r="N83" s="6">
        <v>47523</v>
      </c>
      <c r="O83" s="7">
        <v>67890</v>
      </c>
      <c r="P83" s="8">
        <f>IF(AND(ISNUMBER(N83),ISNUMBER(O83),O83&gt;0),N83/O83,"")</f>
        <v>0.7</v>
      </c>
      <c r="Q83" s="2" t="s">
        <v>270</v>
      </c>
      <c r="R83" s="9" t="s">
        <v>297</v>
      </c>
    </row>
    <row r="84" spans="1:18" x14ac:dyDescent="0.25">
      <c r="A84" s="2" t="s">
        <v>34</v>
      </c>
      <c r="B84" s="2" t="s">
        <v>114</v>
      </c>
      <c r="C84" s="2" t="s">
        <v>266</v>
      </c>
      <c r="D84" s="2" t="s">
        <v>298</v>
      </c>
      <c r="E84" s="2" t="s">
        <v>268</v>
      </c>
      <c r="F84" s="2" t="s">
        <v>39</v>
      </c>
      <c r="G84" s="2" t="s">
        <v>137</v>
      </c>
      <c r="H84" s="2" t="s">
        <v>41</v>
      </c>
      <c r="I84" s="3">
        <v>46303.41666666667</v>
      </c>
      <c r="J84" s="2" t="s">
        <v>42</v>
      </c>
      <c r="K84" s="2" t="s">
        <v>269</v>
      </c>
      <c r="L84" s="4">
        <v>86.91</v>
      </c>
      <c r="M84" s="5">
        <f>IF(AND(ISNUMBER(N84),ISNUMBER(L84),L84&gt;0),ROUND(N84/L84,2),"")</f>
        <v>4585.7</v>
      </c>
      <c r="N84" s="6">
        <v>398543</v>
      </c>
      <c r="O84" s="7">
        <v>569347</v>
      </c>
      <c r="P84" s="8">
        <f>IF(AND(ISNUMBER(N84),ISNUMBER(O84),O84&gt;0),N84/O84,"")</f>
        <v>0.7000001756398119</v>
      </c>
      <c r="Q84" s="9" t="s">
        <v>7</v>
      </c>
      <c r="R84" s="9" t="s">
        <v>299</v>
      </c>
    </row>
    <row r="85" spans="1:18" x14ac:dyDescent="0.25">
      <c r="A85" s="2" t="s">
        <v>34</v>
      </c>
      <c r="B85" s="2" t="s">
        <v>114</v>
      </c>
      <c r="C85" s="2" t="s">
        <v>274</v>
      </c>
      <c r="D85" s="2" t="s">
        <v>300</v>
      </c>
      <c r="E85" s="2" t="s">
        <v>38</v>
      </c>
      <c r="F85" s="2" t="s">
        <v>39</v>
      </c>
      <c r="G85" s="2" t="s">
        <v>137</v>
      </c>
      <c r="H85" s="2" t="s">
        <v>85</v>
      </c>
      <c r="I85" s="3">
        <v>46296.41666666667</v>
      </c>
      <c r="J85" s="2" t="s">
        <v>42</v>
      </c>
      <c r="K85" s="2" t="s">
        <v>277</v>
      </c>
      <c r="L85" s="4">
        <v>135.38</v>
      </c>
      <c r="M85" s="5">
        <f>IF(AND(ISNUMBER(N85),ISNUMBER(L85),L85&gt;0),ROUND(N85/L85,2),"")</f>
        <v>7363.49</v>
      </c>
      <c r="N85" s="6">
        <v>996869</v>
      </c>
      <c r="O85" s="7">
        <v>1246086</v>
      </c>
      <c r="P85" s="8">
        <f>IF(AND(ISNUMBER(N85),ISNUMBER(O85),O85&gt;0),N85/O85,"")</f>
        <v>0.8000001605025656</v>
      </c>
      <c r="Q85" s="9" t="s">
        <v>7</v>
      </c>
      <c r="R85" s="9" t="s">
        <v>301</v>
      </c>
    </row>
    <row r="86" spans="1:18" x14ac:dyDescent="0.25">
      <c r="A86" s="2" t="s">
        <v>34</v>
      </c>
      <c r="B86" s="2" t="s">
        <v>114</v>
      </c>
      <c r="C86" s="2" t="s">
        <v>302</v>
      </c>
      <c r="D86" s="2" t="s">
        <v>303</v>
      </c>
      <c r="E86" s="2" t="s">
        <v>304</v>
      </c>
      <c r="F86" s="2" t="s">
        <v>39</v>
      </c>
      <c r="G86" s="2" t="s">
        <v>137</v>
      </c>
      <c r="H86" s="2" t="s">
        <v>85</v>
      </c>
      <c r="I86" s="3">
        <v>46285.41666666667</v>
      </c>
      <c r="J86" s="2" t="s">
        <v>42</v>
      </c>
      <c r="K86" s="2" t="s">
        <v>305</v>
      </c>
      <c r="L86" s="4">
        <v>111.87</v>
      </c>
      <c r="M86" s="5">
        <f>IF(AND(ISNUMBER(N86),ISNUMBER(L86),L86&gt;0),ROUND(N86/L86,2),"")</f>
        <v>4389.02</v>
      </c>
      <c r="N86" s="6">
        <v>491000</v>
      </c>
      <c r="O86" s="7">
        <v>640847</v>
      </c>
      <c r="P86" s="8">
        <f>IF(AND(ISNUMBER(N86),ISNUMBER(O86),O86&gt;0),N86/O86,"")</f>
        <v>0.7661735172357833</v>
      </c>
      <c r="Q86" s="9" t="s">
        <v>7</v>
      </c>
      <c r="R86" s="9" t="s">
        <v>306</v>
      </c>
    </row>
    <row r="87" spans="1:18" x14ac:dyDescent="0.25">
      <c r="A87" s="2" t="s">
        <v>34</v>
      </c>
      <c r="B87" s="2" t="s">
        <v>114</v>
      </c>
      <c r="C87" s="2" t="s">
        <v>302</v>
      </c>
      <c r="D87" s="2" t="s">
        <v>307</v>
      </c>
      <c r="E87" s="2" t="s">
        <v>308</v>
      </c>
      <c r="F87" s="2" t="s">
        <v>39</v>
      </c>
      <c r="G87" s="2" t="s">
        <v>137</v>
      </c>
      <c r="H87" s="2" t="s">
        <v>85</v>
      </c>
      <c r="I87" s="3">
        <v>46285.41666666667</v>
      </c>
      <c r="J87" s="2" t="s">
        <v>42</v>
      </c>
      <c r="K87" s="2" t="s">
        <v>305</v>
      </c>
      <c r="L87" s="4">
        <v>90.3</v>
      </c>
      <c r="M87" s="5">
        <f>IF(AND(ISNUMBER(N87),ISNUMBER(L87),L87&gt;0),ROUND(N87/L87,2),"")</f>
        <v>3798.45</v>
      </c>
      <c r="N87" s="6">
        <v>343000</v>
      </c>
      <c r="O87" s="7">
        <v>475592</v>
      </c>
      <c r="P87" s="8">
        <f>IF(AND(ISNUMBER(N87),ISNUMBER(O87),O87&gt;0),N87/O87,"")</f>
        <v>0.7212064122188767</v>
      </c>
      <c r="Q87" s="9" t="s">
        <v>7</v>
      </c>
      <c r="R87" s="9" t="s">
        <v>309</v>
      </c>
    </row>
    <row r="88" spans="1:18" x14ac:dyDescent="0.25">
      <c r="A88" s="2" t="s">
        <v>34</v>
      </c>
      <c r="B88" s="2" t="s">
        <v>114</v>
      </c>
      <c r="C88" s="2" t="s">
        <v>302</v>
      </c>
      <c r="D88" s="2" t="s">
        <v>310</v>
      </c>
      <c r="E88" s="2" t="s">
        <v>311</v>
      </c>
      <c r="F88" s="2" t="s">
        <v>39</v>
      </c>
      <c r="G88" s="2" t="s">
        <v>137</v>
      </c>
      <c r="H88" s="2" t="s">
        <v>85</v>
      </c>
      <c r="I88" s="3">
        <v>46285.41666666667</v>
      </c>
      <c r="J88" s="2" t="s">
        <v>42</v>
      </c>
      <c r="K88" s="2" t="s">
        <v>305</v>
      </c>
      <c r="L88" s="4">
        <v>116.08</v>
      </c>
      <c r="M88" s="5">
        <f>IF(AND(ISNUMBER(N88),ISNUMBER(L88),L88&gt;0),ROUND(N88/L88,2),"")</f>
        <v>5410.06</v>
      </c>
      <c r="N88" s="6">
        <v>628000</v>
      </c>
      <c r="O88" s="7">
        <v>979947</v>
      </c>
      <c r="P88" s="8">
        <f>IF(AND(ISNUMBER(N88),ISNUMBER(O88),O88&gt;0),N88/O88,"")</f>
        <v>0.6408509847981575</v>
      </c>
      <c r="Q88" s="9" t="s">
        <v>7</v>
      </c>
      <c r="R88" s="9" t="s">
        <v>312</v>
      </c>
    </row>
    <row r="89" spans="1:18" x14ac:dyDescent="0.25">
      <c r="A89" s="2" t="s">
        <v>34</v>
      </c>
      <c r="B89" s="2" t="s">
        <v>114</v>
      </c>
      <c r="C89" s="2" t="s">
        <v>266</v>
      </c>
      <c r="D89" s="2" t="s">
        <v>313</v>
      </c>
      <c r="E89" s="2" t="s">
        <v>268</v>
      </c>
      <c r="F89" s="2" t="s">
        <v>136</v>
      </c>
      <c r="G89" s="2" t="s">
        <v>137</v>
      </c>
      <c r="H89" s="2" t="s">
        <v>41</v>
      </c>
      <c r="I89" s="3">
        <v>46303.41666666667</v>
      </c>
      <c r="J89" s="2" t="s">
        <v>42</v>
      </c>
      <c r="K89" s="2" t="s">
        <v>269</v>
      </c>
      <c r="L89" s="10" t="s">
        <v>152</v>
      </c>
      <c r="M89" s="5" t="str">
        <f>IF(AND(ISNUMBER(N89),ISNUMBER(L89),L89&gt;0),ROUND(N89/L89,2),"")</f>
        <v/>
      </c>
      <c r="N89" s="6">
        <v>48949</v>
      </c>
      <c r="O89" s="7">
        <v>69927</v>
      </c>
      <c r="P89" s="8">
        <f>IF(AND(ISNUMBER(N89),ISNUMBER(O89),O89&gt;0),N89/O89,"")</f>
        <v>0.7000014300627797</v>
      </c>
      <c r="Q89" s="2" t="s">
        <v>270</v>
      </c>
      <c r="R89" s="9" t="s">
        <v>314</v>
      </c>
    </row>
    <row r="90" spans="1:18" x14ac:dyDescent="0.25">
      <c r="A90" s="2" t="s">
        <v>34</v>
      </c>
      <c r="B90" s="2" t="s">
        <v>114</v>
      </c>
      <c r="C90" s="2" t="s">
        <v>274</v>
      </c>
      <c r="D90" s="2" t="s">
        <v>315</v>
      </c>
      <c r="E90" s="2" t="s">
        <v>316</v>
      </c>
      <c r="F90" s="2" t="s">
        <v>39</v>
      </c>
      <c r="G90" s="2" t="s">
        <v>137</v>
      </c>
      <c r="H90" s="2" t="s">
        <v>150</v>
      </c>
      <c r="I90" s="3">
        <v>46296.41666666667</v>
      </c>
      <c r="J90" s="2" t="s">
        <v>42</v>
      </c>
      <c r="K90" s="2" t="s">
        <v>277</v>
      </c>
      <c r="L90" s="4">
        <v>120.42</v>
      </c>
      <c r="M90" s="5">
        <f>IF(AND(ISNUMBER(N90),ISNUMBER(L90),L90&gt;0),ROUND(N90/L90,2),"")</f>
        <v>11454.2</v>
      </c>
      <c r="N90" s="6">
        <v>1379315</v>
      </c>
      <c r="O90" s="7">
        <v>1724143</v>
      </c>
      <c r="P90" s="8">
        <f>IF(AND(ISNUMBER(N90),ISNUMBER(O90),O90&gt;0),N90/O90,"")</f>
        <v>0.8000003479989769</v>
      </c>
      <c r="Q90" s="9" t="s">
        <v>7</v>
      </c>
      <c r="R90" s="9" t="s">
        <v>317</v>
      </c>
    </row>
    <row r="91" spans="1:18" x14ac:dyDescent="0.25">
      <c r="A91" s="2" t="s">
        <v>34</v>
      </c>
      <c r="B91" s="2" t="s">
        <v>114</v>
      </c>
      <c r="C91" s="2" t="s">
        <v>302</v>
      </c>
      <c r="D91" s="2" t="s">
        <v>318</v>
      </c>
      <c r="E91" s="2" t="s">
        <v>319</v>
      </c>
      <c r="F91" s="2" t="s">
        <v>136</v>
      </c>
      <c r="G91" s="2" t="s">
        <v>137</v>
      </c>
      <c r="H91" s="2" t="s">
        <v>85</v>
      </c>
      <c r="I91" s="3">
        <v>46285.41666666667</v>
      </c>
      <c r="J91" s="2" t="s">
        <v>42</v>
      </c>
      <c r="K91" s="2" t="s">
        <v>305</v>
      </c>
      <c r="L91" s="4">
        <v>27.42</v>
      </c>
      <c r="M91" s="5">
        <f>IF(AND(ISNUMBER(N91),ISNUMBER(L91),L91&gt;0),ROUND(N91/L91,2),"")</f>
        <v>2261.12</v>
      </c>
      <c r="N91" s="6">
        <v>62000</v>
      </c>
      <c r="O91" s="7">
        <v>96000</v>
      </c>
      <c r="P91" s="8">
        <f>IF(AND(ISNUMBER(N91),ISNUMBER(O91),O91&gt;0),N91/O91,"")</f>
        <v>0.6458333333333334</v>
      </c>
      <c r="Q91" s="9" t="s">
        <v>7</v>
      </c>
      <c r="R91" s="9" t="s">
        <v>320</v>
      </c>
    </row>
    <row r="92" spans="1:18" x14ac:dyDescent="0.25">
      <c r="A92" s="2" t="s">
        <v>34</v>
      </c>
      <c r="B92" s="2" t="s">
        <v>114</v>
      </c>
      <c r="C92" s="2" t="s">
        <v>266</v>
      </c>
      <c r="D92" s="2" t="s">
        <v>321</v>
      </c>
      <c r="E92" s="2" t="s">
        <v>268</v>
      </c>
      <c r="F92" s="2" t="s">
        <v>136</v>
      </c>
      <c r="G92" s="2" t="s">
        <v>137</v>
      </c>
      <c r="H92" s="2" t="s">
        <v>41</v>
      </c>
      <c r="I92" s="3">
        <v>46303.41666666667</v>
      </c>
      <c r="J92" s="2" t="s">
        <v>42</v>
      </c>
      <c r="K92" s="2" t="s">
        <v>269</v>
      </c>
      <c r="L92" s="10" t="s">
        <v>152</v>
      </c>
      <c r="M92" s="5" t="str">
        <f>IF(AND(ISNUMBER(N92),ISNUMBER(L92),L92&gt;0),ROUND(N92/L92,2),"")</f>
        <v/>
      </c>
      <c r="N92" s="6">
        <v>48949</v>
      </c>
      <c r="O92" s="7">
        <v>69927</v>
      </c>
      <c r="P92" s="8">
        <f>IF(AND(ISNUMBER(N92),ISNUMBER(O92),O92&gt;0),N92/O92,"")</f>
        <v>0.7000014300627797</v>
      </c>
      <c r="Q92" s="2" t="s">
        <v>270</v>
      </c>
      <c r="R92" s="9" t="s">
        <v>322</v>
      </c>
    </row>
    <row r="93" spans="1:18" x14ac:dyDescent="0.25">
      <c r="A93" s="2" t="s">
        <v>34</v>
      </c>
      <c r="B93" s="2" t="s">
        <v>114</v>
      </c>
      <c r="C93" s="2" t="s">
        <v>266</v>
      </c>
      <c r="D93" s="2" t="s">
        <v>323</v>
      </c>
      <c r="E93" s="2" t="s">
        <v>268</v>
      </c>
      <c r="F93" s="2" t="s">
        <v>136</v>
      </c>
      <c r="G93" s="2" t="s">
        <v>137</v>
      </c>
      <c r="H93" s="2" t="s">
        <v>41</v>
      </c>
      <c r="I93" s="3">
        <v>46303.41666666667</v>
      </c>
      <c r="J93" s="2" t="s">
        <v>42</v>
      </c>
      <c r="K93" s="2" t="s">
        <v>269</v>
      </c>
      <c r="L93" s="10" t="s">
        <v>152</v>
      </c>
      <c r="M93" s="5" t="str">
        <f>IF(AND(ISNUMBER(N93),ISNUMBER(L93),L93&gt;0),ROUND(N93/L93,2),"")</f>
        <v/>
      </c>
      <c r="N93" s="6">
        <v>47523</v>
      </c>
      <c r="O93" s="7">
        <v>67890</v>
      </c>
      <c r="P93" s="8">
        <f>IF(AND(ISNUMBER(N93),ISNUMBER(O93),O93&gt;0),N93/O93,"")</f>
        <v>0.7</v>
      </c>
      <c r="Q93" s="2" t="s">
        <v>270</v>
      </c>
      <c r="R93" s="9" t="s">
        <v>324</v>
      </c>
    </row>
    <row r="94" spans="1:18" x14ac:dyDescent="0.25">
      <c r="A94" s="2" t="s">
        <v>34</v>
      </c>
      <c r="B94" s="2" t="s">
        <v>114</v>
      </c>
      <c r="C94" s="2" t="s">
        <v>266</v>
      </c>
      <c r="D94" s="2" t="s">
        <v>325</v>
      </c>
      <c r="E94" s="2" t="s">
        <v>268</v>
      </c>
      <c r="F94" s="2" t="s">
        <v>136</v>
      </c>
      <c r="G94" s="2" t="s">
        <v>137</v>
      </c>
      <c r="H94" s="2" t="s">
        <v>41</v>
      </c>
      <c r="I94" s="3">
        <v>46303.41666666667</v>
      </c>
      <c r="J94" s="2" t="s">
        <v>42</v>
      </c>
      <c r="K94" s="2" t="s">
        <v>269</v>
      </c>
      <c r="L94" s="10" t="s">
        <v>152</v>
      </c>
      <c r="M94" s="5" t="str">
        <f>IF(AND(ISNUMBER(N94),ISNUMBER(L94),L94&gt;0),ROUND(N94/L94,2),"")</f>
        <v/>
      </c>
      <c r="N94" s="6">
        <v>47523</v>
      </c>
      <c r="O94" s="7">
        <v>67890</v>
      </c>
      <c r="P94" s="8">
        <f>IF(AND(ISNUMBER(N94),ISNUMBER(O94),O94&gt;0),N94/O94,"")</f>
        <v>0.7</v>
      </c>
      <c r="Q94" s="2" t="s">
        <v>270</v>
      </c>
      <c r="R94" s="9" t="s">
        <v>326</v>
      </c>
    </row>
    <row r="95" spans="1:18" x14ac:dyDescent="0.25">
      <c r="A95" s="2" t="s">
        <v>34</v>
      </c>
      <c r="B95" s="2" t="s">
        <v>114</v>
      </c>
      <c r="C95" s="2" t="s">
        <v>266</v>
      </c>
      <c r="D95" s="2" t="s">
        <v>327</v>
      </c>
      <c r="E95" s="2" t="s">
        <v>268</v>
      </c>
      <c r="F95" s="2" t="s">
        <v>136</v>
      </c>
      <c r="G95" s="2" t="s">
        <v>137</v>
      </c>
      <c r="H95" s="2" t="s">
        <v>41</v>
      </c>
      <c r="I95" s="3">
        <v>46303.41666666667</v>
      </c>
      <c r="J95" s="2" t="s">
        <v>42</v>
      </c>
      <c r="K95" s="2" t="s">
        <v>269</v>
      </c>
      <c r="L95" s="10" t="s">
        <v>152</v>
      </c>
      <c r="M95" s="5" t="str">
        <f>IF(AND(ISNUMBER(N95),ISNUMBER(L95),L95&gt;0),ROUND(N95/L95,2),"")</f>
        <v/>
      </c>
      <c r="N95" s="6">
        <v>47523</v>
      </c>
      <c r="O95" s="7">
        <v>67890</v>
      </c>
      <c r="P95" s="8">
        <f>IF(AND(ISNUMBER(N95),ISNUMBER(O95),O95&gt;0),N95/O95,"")</f>
        <v>0.7</v>
      </c>
      <c r="Q95" s="2" t="s">
        <v>270</v>
      </c>
      <c r="R95" s="9" t="s">
        <v>328</v>
      </c>
    </row>
    <row r="96" spans="1:18" x14ac:dyDescent="0.25">
      <c r="A96" s="2" t="s">
        <v>34</v>
      </c>
      <c r="B96" s="2" t="s">
        <v>114</v>
      </c>
      <c r="C96" s="2" t="s">
        <v>266</v>
      </c>
      <c r="D96" s="2" t="s">
        <v>329</v>
      </c>
      <c r="E96" s="2" t="s">
        <v>268</v>
      </c>
      <c r="F96" s="2" t="s">
        <v>136</v>
      </c>
      <c r="G96" s="2" t="s">
        <v>137</v>
      </c>
      <c r="H96" s="2" t="s">
        <v>41</v>
      </c>
      <c r="I96" s="3">
        <v>46303.41666666667</v>
      </c>
      <c r="J96" s="2" t="s">
        <v>42</v>
      </c>
      <c r="K96" s="2" t="s">
        <v>269</v>
      </c>
      <c r="L96" s="10" t="s">
        <v>152</v>
      </c>
      <c r="M96" s="5" t="str">
        <f>IF(AND(ISNUMBER(N96),ISNUMBER(L96),L96&gt;0),ROUND(N96/L96,2),"")</f>
        <v/>
      </c>
      <c r="N96" s="6">
        <v>47523</v>
      </c>
      <c r="O96" s="7">
        <v>67890</v>
      </c>
      <c r="P96" s="8">
        <f>IF(AND(ISNUMBER(N96),ISNUMBER(O96),O96&gt;0),N96/O96,"")</f>
        <v>0.7</v>
      </c>
      <c r="Q96" s="2" t="s">
        <v>270</v>
      </c>
      <c r="R96" s="9" t="s">
        <v>330</v>
      </c>
    </row>
    <row r="97" spans="1:18" x14ac:dyDescent="0.25">
      <c r="A97" s="2" t="s">
        <v>34</v>
      </c>
      <c r="B97" s="2" t="s">
        <v>114</v>
      </c>
      <c r="C97" s="2" t="s">
        <v>266</v>
      </c>
      <c r="D97" s="2" t="s">
        <v>331</v>
      </c>
      <c r="E97" s="2" t="s">
        <v>268</v>
      </c>
      <c r="F97" s="2" t="s">
        <v>136</v>
      </c>
      <c r="G97" s="2" t="s">
        <v>137</v>
      </c>
      <c r="H97" s="2" t="s">
        <v>41</v>
      </c>
      <c r="I97" s="3">
        <v>46303.41666666667</v>
      </c>
      <c r="J97" s="2" t="s">
        <v>42</v>
      </c>
      <c r="K97" s="2" t="s">
        <v>269</v>
      </c>
      <c r="L97" s="10" t="s">
        <v>152</v>
      </c>
      <c r="M97" s="5" t="str">
        <f>IF(AND(ISNUMBER(N97),ISNUMBER(L97),L97&gt;0),ROUND(N97/L97,2),"")</f>
        <v/>
      </c>
      <c r="N97" s="6">
        <v>47523</v>
      </c>
      <c r="O97" s="7">
        <v>67890</v>
      </c>
      <c r="P97" s="8">
        <f>IF(AND(ISNUMBER(N97),ISNUMBER(O97),O97&gt;0),N97/O97,"")</f>
        <v>0.7</v>
      </c>
      <c r="Q97" s="2" t="s">
        <v>270</v>
      </c>
      <c r="R97" s="9" t="s">
        <v>332</v>
      </c>
    </row>
    <row r="98" spans="1:18" x14ac:dyDescent="0.25">
      <c r="A98" s="2" t="s">
        <v>34</v>
      </c>
      <c r="B98" s="2" t="s">
        <v>114</v>
      </c>
      <c r="C98" s="2" t="s">
        <v>266</v>
      </c>
      <c r="D98" s="2" t="s">
        <v>333</v>
      </c>
      <c r="E98" s="2" t="s">
        <v>268</v>
      </c>
      <c r="F98" s="2" t="s">
        <v>136</v>
      </c>
      <c r="G98" s="2" t="s">
        <v>137</v>
      </c>
      <c r="H98" s="2" t="s">
        <v>41</v>
      </c>
      <c r="I98" s="3">
        <v>46303.41666666667</v>
      </c>
      <c r="J98" s="2" t="s">
        <v>42</v>
      </c>
      <c r="K98" s="2" t="s">
        <v>269</v>
      </c>
      <c r="L98" s="10" t="s">
        <v>152</v>
      </c>
      <c r="M98" s="5" t="str">
        <f>IF(AND(ISNUMBER(N98),ISNUMBER(L98),L98&gt;0),ROUND(N98/L98,2),"")</f>
        <v/>
      </c>
      <c r="N98" s="6">
        <v>47523</v>
      </c>
      <c r="O98" s="7">
        <v>67890</v>
      </c>
      <c r="P98" s="8">
        <f>IF(AND(ISNUMBER(N98),ISNUMBER(O98),O98&gt;0),N98/O98,"")</f>
        <v>0.7</v>
      </c>
      <c r="Q98" s="2" t="s">
        <v>270</v>
      </c>
      <c r="R98" s="9" t="s">
        <v>334</v>
      </c>
    </row>
    <row r="99" spans="1:18" x14ac:dyDescent="0.25">
      <c r="A99" s="2" t="s">
        <v>34</v>
      </c>
      <c r="B99" s="2" t="s">
        <v>114</v>
      </c>
      <c r="C99" s="2" t="s">
        <v>266</v>
      </c>
      <c r="D99" s="2" t="s">
        <v>335</v>
      </c>
      <c r="E99" s="2" t="s">
        <v>268</v>
      </c>
      <c r="F99" s="2" t="s">
        <v>136</v>
      </c>
      <c r="G99" s="2" t="s">
        <v>137</v>
      </c>
      <c r="H99" s="2" t="s">
        <v>41</v>
      </c>
      <c r="I99" s="3">
        <v>46303.41666666667</v>
      </c>
      <c r="J99" s="2" t="s">
        <v>42</v>
      </c>
      <c r="K99" s="2" t="s">
        <v>269</v>
      </c>
      <c r="L99" s="10" t="s">
        <v>152</v>
      </c>
      <c r="M99" s="5" t="str">
        <f>IF(AND(ISNUMBER(N99),ISNUMBER(L99),L99&gt;0),ROUND(N99/L99,2),"")</f>
        <v/>
      </c>
      <c r="N99" s="6">
        <v>47523</v>
      </c>
      <c r="O99" s="7">
        <v>67890</v>
      </c>
      <c r="P99" s="8">
        <f>IF(AND(ISNUMBER(N99),ISNUMBER(O99),O99&gt;0),N99/O99,"")</f>
        <v>0.7</v>
      </c>
      <c r="Q99" s="2" t="s">
        <v>270</v>
      </c>
      <c r="R99" s="9" t="s">
        <v>336</v>
      </c>
    </row>
    <row r="100" spans="1:18" x14ac:dyDescent="0.25">
      <c r="A100" s="2" t="s">
        <v>34</v>
      </c>
      <c r="B100" s="2" t="s">
        <v>114</v>
      </c>
      <c r="C100" s="2" t="s">
        <v>266</v>
      </c>
      <c r="D100" s="2" t="s">
        <v>337</v>
      </c>
      <c r="E100" s="2" t="s">
        <v>268</v>
      </c>
      <c r="F100" s="2" t="s">
        <v>136</v>
      </c>
      <c r="G100" s="2" t="s">
        <v>137</v>
      </c>
      <c r="H100" s="2" t="s">
        <v>41</v>
      </c>
      <c r="I100" s="3">
        <v>46303.41666666667</v>
      </c>
      <c r="J100" s="2" t="s">
        <v>42</v>
      </c>
      <c r="K100" s="2" t="s">
        <v>269</v>
      </c>
      <c r="L100" s="10" t="s">
        <v>152</v>
      </c>
      <c r="M100" s="5" t="str">
        <f>IF(AND(ISNUMBER(N100),ISNUMBER(L100),L100&gt;0),ROUND(N100/L100,2),"")</f>
        <v/>
      </c>
      <c r="N100" s="6">
        <v>47523</v>
      </c>
      <c r="O100" s="7">
        <v>67890</v>
      </c>
      <c r="P100" s="8">
        <f>IF(AND(ISNUMBER(N100),ISNUMBER(O100),O100&gt;0),N100/O100,"")</f>
        <v>0.7</v>
      </c>
      <c r="Q100" s="2" t="s">
        <v>270</v>
      </c>
      <c r="R100" s="9" t="s">
        <v>338</v>
      </c>
    </row>
    <row r="101" spans="1:18" x14ac:dyDescent="0.25">
      <c r="A101" s="2" t="s">
        <v>34</v>
      </c>
      <c r="B101" s="2" t="s">
        <v>114</v>
      </c>
      <c r="C101" s="2" t="s">
        <v>126</v>
      </c>
      <c r="D101" s="2" t="s">
        <v>339</v>
      </c>
      <c r="E101" s="2" t="s">
        <v>340</v>
      </c>
      <c r="F101" s="2" t="s">
        <v>39</v>
      </c>
      <c r="G101" s="2" t="s">
        <v>137</v>
      </c>
      <c r="H101" s="2" t="s">
        <v>85</v>
      </c>
      <c r="I101" s="3">
        <v>46285.41666666667</v>
      </c>
      <c r="J101" s="2" t="s">
        <v>42</v>
      </c>
      <c r="K101" s="2" t="s">
        <v>341</v>
      </c>
      <c r="L101" s="4">
        <v>95.6</v>
      </c>
      <c r="M101" s="5">
        <f>IF(AND(ISNUMBER(N101),ISNUMBER(L101),L101&gt;0),ROUND(N101/L101,2),"")</f>
        <v>6066.95</v>
      </c>
      <c r="N101" s="6">
        <v>580000</v>
      </c>
      <c r="O101" s="7">
        <v>1034023.6</v>
      </c>
      <c r="P101" s="8">
        <f>IF(AND(ISNUMBER(N101),ISNUMBER(O101),O101&gt;0),N101/O101,"")</f>
        <v>0.5609156309391778</v>
      </c>
      <c r="Q101" s="2" t="s">
        <v>174</v>
      </c>
      <c r="R101" s="9" t="s">
        <v>342</v>
      </c>
    </row>
    <row r="102" spans="1:18" x14ac:dyDescent="0.25">
      <c r="A102" s="2" t="s">
        <v>34</v>
      </c>
      <c r="B102" s="2" t="s">
        <v>114</v>
      </c>
      <c r="C102" s="2" t="s">
        <v>343</v>
      </c>
      <c r="D102" s="2" t="s">
        <v>344</v>
      </c>
      <c r="E102" s="2" t="s">
        <v>345</v>
      </c>
      <c r="F102" s="2" t="s">
        <v>39</v>
      </c>
      <c r="G102" s="2" t="s">
        <v>137</v>
      </c>
      <c r="H102" s="2" t="s">
        <v>85</v>
      </c>
      <c r="I102" s="3">
        <v>46285.41666666667</v>
      </c>
      <c r="J102" s="2" t="s">
        <v>42</v>
      </c>
      <c r="K102" s="2" t="s">
        <v>341</v>
      </c>
      <c r="L102" s="4">
        <v>142.53</v>
      </c>
      <c r="M102" s="5">
        <f>IF(AND(ISNUMBER(N102),ISNUMBER(L102),L102&gt;0),ROUND(N102/L102,2),"")</f>
        <v>4490.28</v>
      </c>
      <c r="N102" s="6">
        <v>640000</v>
      </c>
      <c r="O102" s="7">
        <v>1140240</v>
      </c>
      <c r="P102" s="8">
        <f>IF(AND(ISNUMBER(N102),ISNUMBER(O102),O102&gt;0),N102/O102,"")</f>
        <v>0.5612853434364695</v>
      </c>
      <c r="Q102" s="2" t="s">
        <v>346</v>
      </c>
      <c r="R102" s="9" t="s">
        <v>347</v>
      </c>
    </row>
    <row r="103" spans="1:18" x14ac:dyDescent="0.25">
      <c r="A103" s="2" t="s">
        <v>34</v>
      </c>
      <c r="B103" s="2" t="s">
        <v>114</v>
      </c>
      <c r="C103" s="2" t="s">
        <v>115</v>
      </c>
      <c r="D103" s="2" t="s">
        <v>348</v>
      </c>
      <c r="E103" s="2" t="s">
        <v>349</v>
      </c>
      <c r="F103" s="2" t="s">
        <v>39</v>
      </c>
      <c r="G103" s="2" t="s">
        <v>137</v>
      </c>
      <c r="H103" s="2" t="s">
        <v>41</v>
      </c>
      <c r="I103" s="3">
        <v>46303.41666666667</v>
      </c>
      <c r="J103" s="2" t="s">
        <v>42</v>
      </c>
      <c r="K103" s="2" t="s">
        <v>350</v>
      </c>
      <c r="L103" s="4">
        <v>348.25</v>
      </c>
      <c r="M103" s="5">
        <f>IF(AND(ISNUMBER(N103),ISNUMBER(L103),L103&gt;0),ROUND(N103/L103,2),"")</f>
        <v>8699.16</v>
      </c>
      <c r="N103" s="6">
        <v>3029484</v>
      </c>
      <c r="O103" s="7">
        <v>4327833</v>
      </c>
      <c r="P103" s="8">
        <f>IF(AND(ISNUMBER(N103),ISNUMBER(O103),O103&gt;0),N103/O103,"")</f>
        <v>0.7000002079562682</v>
      </c>
      <c r="Q103" s="9" t="s">
        <v>7</v>
      </c>
      <c r="R103" s="9" t="s">
        <v>351</v>
      </c>
    </row>
    <row r="104" spans="1:18" x14ac:dyDescent="0.25">
      <c r="A104" s="2" t="s">
        <v>34</v>
      </c>
      <c r="B104" s="2" t="s">
        <v>114</v>
      </c>
      <c r="C104" s="2" t="s">
        <v>115</v>
      </c>
      <c r="D104" s="2" t="s">
        <v>352</v>
      </c>
      <c r="E104" s="2" t="s">
        <v>349</v>
      </c>
      <c r="F104" s="2" t="s">
        <v>39</v>
      </c>
      <c r="G104" s="2" t="s">
        <v>137</v>
      </c>
      <c r="H104" s="2" t="s">
        <v>41</v>
      </c>
      <c r="I104" s="3">
        <v>46303.41666666667</v>
      </c>
      <c r="J104" s="2" t="s">
        <v>42</v>
      </c>
      <c r="K104" s="2" t="s">
        <v>350</v>
      </c>
      <c r="L104" s="4">
        <v>355.56</v>
      </c>
      <c r="M104" s="5">
        <f>IF(AND(ISNUMBER(N104),ISNUMBER(L104),L104&gt;0),ROUND(N104/L104,2),"")</f>
        <v>8648.98</v>
      </c>
      <c r="N104" s="6">
        <v>3075233</v>
      </c>
      <c r="O104" s="7">
        <v>4393190</v>
      </c>
      <c r="P104" s="8">
        <f>IF(AND(ISNUMBER(N104),ISNUMBER(O104),O104&gt;0),N104/O104,"")</f>
        <v>0.7</v>
      </c>
      <c r="Q104" s="9" t="s">
        <v>7</v>
      </c>
      <c r="R104" s="9" t="s">
        <v>353</v>
      </c>
    </row>
    <row r="105" spans="1:18" x14ac:dyDescent="0.25">
      <c r="A105" s="2" t="s">
        <v>34</v>
      </c>
      <c r="B105" s="2" t="s">
        <v>114</v>
      </c>
      <c r="C105" s="2" t="s">
        <v>115</v>
      </c>
      <c r="D105" s="2" t="s">
        <v>354</v>
      </c>
      <c r="E105" s="2" t="s">
        <v>355</v>
      </c>
      <c r="F105" s="2" t="s">
        <v>39</v>
      </c>
      <c r="G105" s="2" t="s">
        <v>137</v>
      </c>
      <c r="H105" s="2" t="s">
        <v>41</v>
      </c>
      <c r="I105" s="3">
        <v>46300.41666666667</v>
      </c>
      <c r="J105" s="2" t="s">
        <v>42</v>
      </c>
      <c r="K105" s="2" t="s">
        <v>118</v>
      </c>
      <c r="L105" s="4">
        <v>124.9</v>
      </c>
      <c r="M105" s="5">
        <f>IF(AND(ISNUMBER(N105),ISNUMBER(L105),L105&gt;0),ROUND(N105/L105,2),"")</f>
        <v>9847.88</v>
      </c>
      <c r="N105" s="6">
        <v>1230000</v>
      </c>
      <c r="O105" s="7">
        <v>1525529</v>
      </c>
      <c r="P105" s="8">
        <f>IF(AND(ISNUMBER(N105),ISNUMBER(O105),O105&gt;0),N105/O105,"")</f>
        <v>0.8062776912139985</v>
      </c>
      <c r="Q105" s="2" t="s">
        <v>194</v>
      </c>
      <c r="R105" s="9" t="s">
        <v>356</v>
      </c>
    </row>
    <row r="106" spans="1:18" x14ac:dyDescent="0.25">
      <c r="A106" s="2" t="s">
        <v>34</v>
      </c>
      <c r="B106" s="2" t="s">
        <v>114</v>
      </c>
      <c r="C106" s="2" t="s">
        <v>126</v>
      </c>
      <c r="D106" s="2" t="s">
        <v>357</v>
      </c>
      <c r="E106" s="2" t="s">
        <v>358</v>
      </c>
      <c r="F106" s="2" t="s">
        <v>39</v>
      </c>
      <c r="G106" s="2" t="s">
        <v>137</v>
      </c>
      <c r="H106" s="2" t="s">
        <v>41</v>
      </c>
      <c r="I106" s="3">
        <v>46300.41666666667</v>
      </c>
      <c r="J106" s="2" t="s">
        <v>42</v>
      </c>
      <c r="K106" s="2" t="s">
        <v>118</v>
      </c>
      <c r="L106" s="4">
        <v>126.17</v>
      </c>
      <c r="M106" s="5">
        <f>IF(AND(ISNUMBER(N106),ISNUMBER(L106),L106&gt;0),ROUND(N106/L106,2),"")</f>
        <v>14266.47</v>
      </c>
      <c r="N106" s="6">
        <v>1800000</v>
      </c>
      <c r="O106" s="7">
        <v>2250000</v>
      </c>
      <c r="P106" s="8">
        <f>IF(AND(ISNUMBER(N106),ISNUMBER(O106),O106&gt;0),N106/O106,"")</f>
        <v>0.8</v>
      </c>
      <c r="Q106" s="9" t="s">
        <v>7</v>
      </c>
      <c r="R106" s="9" t="s">
        <v>359</v>
      </c>
    </row>
    <row r="107" spans="1:18" x14ac:dyDescent="0.25">
      <c r="A107" s="2" t="s">
        <v>34</v>
      </c>
      <c r="B107" s="2" t="s">
        <v>114</v>
      </c>
      <c r="C107" s="2" t="s">
        <v>126</v>
      </c>
      <c r="D107" s="2" t="s">
        <v>360</v>
      </c>
      <c r="E107" s="2" t="s">
        <v>361</v>
      </c>
      <c r="F107" s="2" t="s">
        <v>39</v>
      </c>
      <c r="G107" s="2" t="s">
        <v>137</v>
      </c>
      <c r="H107" s="2" t="s">
        <v>41</v>
      </c>
      <c r="I107" s="3">
        <v>46300.41666666667</v>
      </c>
      <c r="J107" s="2" t="s">
        <v>42</v>
      </c>
      <c r="K107" s="2" t="s">
        <v>118</v>
      </c>
      <c r="L107" s="4">
        <v>148.53</v>
      </c>
      <c r="M107" s="5">
        <f>IF(AND(ISNUMBER(N107),ISNUMBER(L107),L107&gt;0),ROUND(N107/L107,2),"")</f>
        <v>16764.29</v>
      </c>
      <c r="N107" s="6">
        <v>2490000</v>
      </c>
      <c r="O107" s="7">
        <v>3105020</v>
      </c>
      <c r="P107" s="8">
        <f>IF(AND(ISNUMBER(N107),ISNUMBER(O107),O107&gt;0),N107/O107,"")</f>
        <v>0.8019272017571546</v>
      </c>
      <c r="Q107" s="9" t="s">
        <v>7</v>
      </c>
      <c r="R107" s="9" t="s">
        <v>362</v>
      </c>
    </row>
    <row r="108" spans="1:18" x14ac:dyDescent="0.25">
      <c r="A108" s="2" t="s">
        <v>34</v>
      </c>
      <c r="B108" s="2" t="s">
        <v>114</v>
      </c>
      <c r="C108" s="2" t="s">
        <v>115</v>
      </c>
      <c r="D108" s="2" t="s">
        <v>363</v>
      </c>
      <c r="E108" s="2" t="s">
        <v>364</v>
      </c>
      <c r="F108" s="2" t="s">
        <v>39</v>
      </c>
      <c r="G108" s="2" t="s">
        <v>137</v>
      </c>
      <c r="H108" s="2" t="s">
        <v>41</v>
      </c>
      <c r="I108" s="3">
        <v>46300.41666666667</v>
      </c>
      <c r="J108" s="2" t="s">
        <v>42</v>
      </c>
      <c r="K108" s="2" t="s">
        <v>118</v>
      </c>
      <c r="L108" s="4">
        <v>65.3</v>
      </c>
      <c r="M108" s="5">
        <f>IF(AND(ISNUMBER(N108),ISNUMBER(L108),L108&gt;0),ROUND(N108/L108,2),"")</f>
        <v>5666.16</v>
      </c>
      <c r="N108" s="6">
        <v>370000</v>
      </c>
      <c r="O108" s="7">
        <v>460000</v>
      </c>
      <c r="P108" s="8">
        <f>IF(AND(ISNUMBER(N108),ISNUMBER(O108),O108&gt;0),N108/O108,"")</f>
        <v>0.8043478260869565</v>
      </c>
      <c r="Q108" s="2" t="s">
        <v>214</v>
      </c>
      <c r="R108" s="9" t="s">
        <v>365</v>
      </c>
    </row>
    <row r="109" spans="1:18" x14ac:dyDescent="0.25">
      <c r="A109" s="2" t="s">
        <v>34</v>
      </c>
      <c r="B109" s="2" t="s">
        <v>114</v>
      </c>
      <c r="C109" s="2" t="s">
        <v>266</v>
      </c>
      <c r="D109" s="2" t="s">
        <v>366</v>
      </c>
      <c r="E109" s="2" t="s">
        <v>268</v>
      </c>
      <c r="F109" s="2" t="s">
        <v>136</v>
      </c>
      <c r="G109" s="2" t="s">
        <v>137</v>
      </c>
      <c r="H109" s="2" t="s">
        <v>41</v>
      </c>
      <c r="I109" s="3">
        <v>46303.41666666667</v>
      </c>
      <c r="J109" s="2" t="s">
        <v>42</v>
      </c>
      <c r="K109" s="2" t="s">
        <v>269</v>
      </c>
      <c r="L109" s="10" t="s">
        <v>152</v>
      </c>
      <c r="M109" s="5" t="str">
        <f>IF(AND(ISNUMBER(N109),ISNUMBER(L109),L109&gt;0),ROUND(N109/L109,2),"")</f>
        <v/>
      </c>
      <c r="N109" s="6">
        <v>47523</v>
      </c>
      <c r="O109" s="7">
        <v>67890</v>
      </c>
      <c r="P109" s="8">
        <f>IF(AND(ISNUMBER(N109),ISNUMBER(O109),O109&gt;0),N109/O109,"")</f>
        <v>0.7</v>
      </c>
      <c r="Q109" s="2" t="s">
        <v>270</v>
      </c>
      <c r="R109" s="9" t="s">
        <v>367</v>
      </c>
    </row>
    <row r="110" spans="1:18" x14ac:dyDescent="0.25">
      <c r="A110" s="2" t="s">
        <v>34</v>
      </c>
      <c r="B110" s="2" t="s">
        <v>114</v>
      </c>
      <c r="C110" s="2" t="s">
        <v>266</v>
      </c>
      <c r="D110" s="2" t="s">
        <v>368</v>
      </c>
      <c r="E110" s="2" t="s">
        <v>268</v>
      </c>
      <c r="F110" s="2" t="s">
        <v>136</v>
      </c>
      <c r="G110" s="2" t="s">
        <v>137</v>
      </c>
      <c r="H110" s="2" t="s">
        <v>41</v>
      </c>
      <c r="I110" s="3">
        <v>46303.41666666667</v>
      </c>
      <c r="J110" s="2" t="s">
        <v>42</v>
      </c>
      <c r="K110" s="2" t="s">
        <v>269</v>
      </c>
      <c r="L110" s="10" t="s">
        <v>152</v>
      </c>
      <c r="M110" s="5" t="str">
        <f>IF(AND(ISNUMBER(N110),ISNUMBER(L110),L110&gt;0),ROUND(N110/L110,2),"")</f>
        <v/>
      </c>
      <c r="N110" s="6">
        <v>47523</v>
      </c>
      <c r="O110" s="7">
        <v>67890</v>
      </c>
      <c r="P110" s="8">
        <f>IF(AND(ISNUMBER(N110),ISNUMBER(O110),O110&gt;0),N110/O110,"")</f>
        <v>0.7</v>
      </c>
      <c r="Q110" s="2" t="s">
        <v>270</v>
      </c>
      <c r="R110" s="9" t="s">
        <v>369</v>
      </c>
    </row>
    <row r="111" spans="1:18" x14ac:dyDescent="0.25">
      <c r="A111" s="2" t="s">
        <v>34</v>
      </c>
      <c r="B111" s="2" t="s">
        <v>114</v>
      </c>
      <c r="C111" s="2" t="s">
        <v>266</v>
      </c>
      <c r="D111" s="2" t="s">
        <v>370</v>
      </c>
      <c r="E111" s="2" t="s">
        <v>268</v>
      </c>
      <c r="F111" s="2" t="s">
        <v>136</v>
      </c>
      <c r="G111" s="2" t="s">
        <v>137</v>
      </c>
      <c r="H111" s="2" t="s">
        <v>41</v>
      </c>
      <c r="I111" s="3">
        <v>46303.41666666667</v>
      </c>
      <c r="J111" s="2" t="s">
        <v>42</v>
      </c>
      <c r="K111" s="2" t="s">
        <v>269</v>
      </c>
      <c r="L111" s="10" t="s">
        <v>152</v>
      </c>
      <c r="M111" s="5" t="str">
        <f>IF(AND(ISNUMBER(N111),ISNUMBER(L111),L111&gt;0),ROUND(N111/L111,2),"")</f>
        <v/>
      </c>
      <c r="N111" s="6">
        <v>30891</v>
      </c>
      <c r="O111" s="7">
        <v>44129</v>
      </c>
      <c r="P111" s="8">
        <f>IF(AND(ISNUMBER(N111),ISNUMBER(O111),O111&gt;0),N111/O111,"")</f>
        <v>0.7000158625846948</v>
      </c>
      <c r="Q111" s="2" t="s">
        <v>270</v>
      </c>
      <c r="R111" s="9" t="s">
        <v>371</v>
      </c>
    </row>
    <row r="112" spans="1:18" x14ac:dyDescent="0.25">
      <c r="A112" s="2" t="s">
        <v>34</v>
      </c>
      <c r="B112" s="2" t="s">
        <v>114</v>
      </c>
      <c r="C112" s="2" t="s">
        <v>266</v>
      </c>
      <c r="D112" s="2" t="s">
        <v>372</v>
      </c>
      <c r="E112" s="2" t="s">
        <v>268</v>
      </c>
      <c r="F112" s="2" t="s">
        <v>136</v>
      </c>
      <c r="G112" s="2" t="s">
        <v>137</v>
      </c>
      <c r="H112" s="2" t="s">
        <v>41</v>
      </c>
      <c r="I112" s="3">
        <v>46303.41666666667</v>
      </c>
      <c r="J112" s="2" t="s">
        <v>42</v>
      </c>
      <c r="K112" s="2" t="s">
        <v>269</v>
      </c>
      <c r="L112" s="10" t="s">
        <v>152</v>
      </c>
      <c r="M112" s="5" t="str">
        <f>IF(AND(ISNUMBER(N112),ISNUMBER(L112),L112&gt;0),ROUND(N112/L112,2),"")</f>
        <v/>
      </c>
      <c r="N112" s="6">
        <v>32316</v>
      </c>
      <c r="O112" s="7">
        <v>46165</v>
      </c>
      <c r="P112" s="8">
        <f>IF(AND(ISNUMBER(N112),ISNUMBER(O112),O112&gt;0),N112/O112,"")</f>
        <v>0.7000108307159103</v>
      </c>
      <c r="Q112" s="2" t="s">
        <v>270</v>
      </c>
      <c r="R112" s="9" t="s">
        <v>373</v>
      </c>
    </row>
    <row r="113" spans="1:18" x14ac:dyDescent="0.25">
      <c r="A113" s="2" t="s">
        <v>34</v>
      </c>
      <c r="B113" s="2" t="s">
        <v>114</v>
      </c>
      <c r="C113" s="2" t="s">
        <v>266</v>
      </c>
      <c r="D113" s="2" t="s">
        <v>374</v>
      </c>
      <c r="E113" s="2" t="s">
        <v>268</v>
      </c>
      <c r="F113" s="2" t="s">
        <v>136</v>
      </c>
      <c r="G113" s="2" t="s">
        <v>137</v>
      </c>
      <c r="H113" s="2" t="s">
        <v>41</v>
      </c>
      <c r="I113" s="3">
        <v>46303.41666666667</v>
      </c>
      <c r="J113" s="2" t="s">
        <v>42</v>
      </c>
      <c r="K113" s="2" t="s">
        <v>269</v>
      </c>
      <c r="L113" s="10" t="s">
        <v>152</v>
      </c>
      <c r="M113" s="5" t="str">
        <f>IF(AND(ISNUMBER(N113),ISNUMBER(L113),L113&gt;0),ROUND(N113/L113,2),"")</f>
        <v/>
      </c>
      <c r="N113" s="6">
        <v>30891</v>
      </c>
      <c r="O113" s="7">
        <v>44129</v>
      </c>
      <c r="P113" s="8">
        <f>IF(AND(ISNUMBER(N113),ISNUMBER(O113),O113&gt;0),N113/O113,"")</f>
        <v>0.7000158625846948</v>
      </c>
      <c r="Q113" s="2" t="s">
        <v>270</v>
      </c>
      <c r="R113" s="9" t="s">
        <v>375</v>
      </c>
    </row>
    <row r="114" spans="1:18" x14ac:dyDescent="0.25">
      <c r="A114" s="2" t="s">
        <v>34</v>
      </c>
      <c r="B114" s="2" t="s">
        <v>114</v>
      </c>
      <c r="C114" s="2" t="s">
        <v>266</v>
      </c>
      <c r="D114" s="2" t="s">
        <v>376</v>
      </c>
      <c r="E114" s="2" t="s">
        <v>268</v>
      </c>
      <c r="F114" s="2" t="s">
        <v>136</v>
      </c>
      <c r="G114" s="2" t="s">
        <v>137</v>
      </c>
      <c r="H114" s="2" t="s">
        <v>41</v>
      </c>
      <c r="I114" s="3">
        <v>46303.41666666667</v>
      </c>
      <c r="J114" s="2" t="s">
        <v>42</v>
      </c>
      <c r="K114" s="2" t="s">
        <v>269</v>
      </c>
      <c r="L114" s="10" t="s">
        <v>152</v>
      </c>
      <c r="M114" s="5" t="str">
        <f>IF(AND(ISNUMBER(N114),ISNUMBER(L114),L114&gt;0),ROUND(N114/L114,2),"")</f>
        <v/>
      </c>
      <c r="N114" s="6">
        <v>30891</v>
      </c>
      <c r="O114" s="7">
        <v>44129</v>
      </c>
      <c r="P114" s="8">
        <f>IF(AND(ISNUMBER(N114),ISNUMBER(O114),O114&gt;0),N114/O114,"")</f>
        <v>0.7000158625846948</v>
      </c>
      <c r="Q114" s="2" t="s">
        <v>270</v>
      </c>
      <c r="R114" s="9" t="s">
        <v>377</v>
      </c>
    </row>
    <row r="115" spans="1:18" x14ac:dyDescent="0.25">
      <c r="A115" s="2" t="s">
        <v>34</v>
      </c>
      <c r="B115" s="2" t="s">
        <v>114</v>
      </c>
      <c r="C115" s="2" t="s">
        <v>266</v>
      </c>
      <c r="D115" s="2" t="s">
        <v>378</v>
      </c>
      <c r="E115" s="2" t="s">
        <v>268</v>
      </c>
      <c r="F115" s="2" t="s">
        <v>39</v>
      </c>
      <c r="G115" s="2" t="s">
        <v>137</v>
      </c>
      <c r="H115" s="2" t="s">
        <v>41</v>
      </c>
      <c r="I115" s="3">
        <v>46303.41666666667</v>
      </c>
      <c r="J115" s="2" t="s">
        <v>42</v>
      </c>
      <c r="K115" s="2" t="s">
        <v>269</v>
      </c>
      <c r="L115" s="10" t="s">
        <v>152</v>
      </c>
      <c r="M115" s="5" t="str">
        <f>IF(AND(ISNUMBER(N115),ISNUMBER(L115),L115&gt;0),ROUND(N115/L115,2),"")</f>
        <v/>
      </c>
      <c r="N115" s="6">
        <v>15259</v>
      </c>
      <c r="O115" s="7">
        <v>21789</v>
      </c>
      <c r="P115" s="8">
        <f>IF(AND(ISNUMBER(N115),ISNUMBER(O115),O115&gt;0),N115/O115,"")</f>
        <v>0.7003074946073707</v>
      </c>
      <c r="Q115" s="2" t="s">
        <v>270</v>
      </c>
      <c r="R115" s="9" t="s">
        <v>379</v>
      </c>
    </row>
    <row r="116" spans="1:18" x14ac:dyDescent="0.25">
      <c r="A116" s="2" t="s">
        <v>34</v>
      </c>
      <c r="B116" s="2" t="s">
        <v>114</v>
      </c>
      <c r="C116" s="2" t="s">
        <v>266</v>
      </c>
      <c r="D116" s="2" t="s">
        <v>380</v>
      </c>
      <c r="E116" s="2" t="s">
        <v>268</v>
      </c>
      <c r="F116" s="2" t="s">
        <v>136</v>
      </c>
      <c r="G116" s="2" t="s">
        <v>137</v>
      </c>
      <c r="H116" s="2" t="s">
        <v>41</v>
      </c>
      <c r="I116" s="3">
        <v>46303.41666666667</v>
      </c>
      <c r="J116" s="2" t="s">
        <v>42</v>
      </c>
      <c r="K116" s="2" t="s">
        <v>269</v>
      </c>
      <c r="L116" s="10" t="s">
        <v>152</v>
      </c>
      <c r="M116" s="5" t="str">
        <f>IF(AND(ISNUMBER(N116),ISNUMBER(L116),L116&gt;0),ROUND(N116/L116,2),"")</f>
        <v/>
      </c>
      <c r="N116" s="6">
        <v>32316</v>
      </c>
      <c r="O116" s="7">
        <v>46165</v>
      </c>
      <c r="P116" s="8">
        <f>IF(AND(ISNUMBER(N116),ISNUMBER(O116),O116&gt;0),N116/O116,"")</f>
        <v>0.7000108307159103</v>
      </c>
      <c r="Q116" s="2" t="s">
        <v>270</v>
      </c>
      <c r="R116" s="9" t="s">
        <v>381</v>
      </c>
    </row>
    <row r="117" spans="1:18" x14ac:dyDescent="0.25">
      <c r="A117" s="2" t="s">
        <v>34</v>
      </c>
      <c r="B117" s="2" t="s">
        <v>114</v>
      </c>
      <c r="C117" s="2" t="s">
        <v>266</v>
      </c>
      <c r="D117" s="2" t="s">
        <v>382</v>
      </c>
      <c r="E117" s="2" t="s">
        <v>268</v>
      </c>
      <c r="F117" s="2" t="s">
        <v>39</v>
      </c>
      <c r="G117" s="2" t="s">
        <v>137</v>
      </c>
      <c r="H117" s="2" t="s">
        <v>41</v>
      </c>
      <c r="I117" s="3">
        <v>46303.41666666667</v>
      </c>
      <c r="J117" s="2" t="s">
        <v>42</v>
      </c>
      <c r="K117" s="2" t="s">
        <v>269</v>
      </c>
      <c r="L117" s="10" t="s">
        <v>152</v>
      </c>
      <c r="M117" s="5" t="str">
        <f>IF(AND(ISNUMBER(N117),ISNUMBER(L117),L117&gt;0),ROUND(N117/L117,2),"")</f>
        <v/>
      </c>
      <c r="N117" s="6">
        <v>9156</v>
      </c>
      <c r="O117" s="7">
        <v>13079</v>
      </c>
      <c r="P117" s="8">
        <f>IF(AND(ISNUMBER(N117),ISNUMBER(O117),O117&gt;0),N117/O117,"")</f>
        <v>0.7000535209113846</v>
      </c>
      <c r="Q117" s="2" t="s">
        <v>270</v>
      </c>
      <c r="R117" s="9" t="s">
        <v>383</v>
      </c>
    </row>
    <row r="118" spans="1:18" x14ac:dyDescent="0.25">
      <c r="A118" s="2" t="s">
        <v>34</v>
      </c>
      <c r="B118" s="2" t="s">
        <v>114</v>
      </c>
      <c r="C118" s="2" t="s">
        <v>266</v>
      </c>
      <c r="D118" s="2" t="s">
        <v>384</v>
      </c>
      <c r="E118" s="2" t="s">
        <v>268</v>
      </c>
      <c r="F118" s="2" t="s">
        <v>136</v>
      </c>
      <c r="G118" s="2" t="s">
        <v>137</v>
      </c>
      <c r="H118" s="2" t="s">
        <v>41</v>
      </c>
      <c r="I118" s="3">
        <v>46303.41666666667</v>
      </c>
      <c r="J118" s="2" t="s">
        <v>42</v>
      </c>
      <c r="K118" s="2" t="s">
        <v>269</v>
      </c>
      <c r="L118" s="10" t="s">
        <v>152</v>
      </c>
      <c r="M118" s="5" t="str">
        <f>IF(AND(ISNUMBER(N118),ISNUMBER(L118),L118&gt;0),ROUND(N118/L118,2),"")</f>
        <v/>
      </c>
      <c r="N118" s="6">
        <v>32316</v>
      </c>
      <c r="O118" s="7">
        <v>46165</v>
      </c>
      <c r="P118" s="8">
        <f>IF(AND(ISNUMBER(N118),ISNUMBER(O118),O118&gt;0),N118/O118,"")</f>
        <v>0.7000108307159103</v>
      </c>
      <c r="Q118" s="2" t="s">
        <v>270</v>
      </c>
      <c r="R118" s="9" t="s">
        <v>385</v>
      </c>
    </row>
    <row r="119" spans="1:18" x14ac:dyDescent="0.25">
      <c r="A119" s="2" t="s">
        <v>34</v>
      </c>
      <c r="B119" s="2" t="s">
        <v>114</v>
      </c>
      <c r="C119" s="2" t="s">
        <v>266</v>
      </c>
      <c r="D119" s="2" t="s">
        <v>386</v>
      </c>
      <c r="E119" s="2" t="s">
        <v>268</v>
      </c>
      <c r="F119" s="2" t="s">
        <v>39</v>
      </c>
      <c r="G119" s="2" t="s">
        <v>137</v>
      </c>
      <c r="H119" s="2" t="s">
        <v>41</v>
      </c>
      <c r="I119" s="3">
        <v>46303.41666666667</v>
      </c>
      <c r="J119" s="2" t="s">
        <v>42</v>
      </c>
      <c r="K119" s="2" t="s">
        <v>269</v>
      </c>
      <c r="L119" s="10" t="s">
        <v>152</v>
      </c>
      <c r="M119" s="5" t="str">
        <f>IF(AND(ISNUMBER(N119),ISNUMBER(L119),L119&gt;0),ROUND(N119/L119,2),"")</f>
        <v/>
      </c>
      <c r="N119" s="6">
        <v>12287</v>
      </c>
      <c r="O119" s="7">
        <v>17552</v>
      </c>
      <c r="P119" s="8">
        <f>IF(AND(ISNUMBER(N119),ISNUMBER(O119),O119&gt;0),N119/O119,"")</f>
        <v>0.7000341841385597</v>
      </c>
      <c r="Q119" s="2" t="s">
        <v>270</v>
      </c>
      <c r="R119" s="9" t="s">
        <v>387</v>
      </c>
    </row>
  </sheetData>
  <autoFilter ref="A1:R1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388</v>
      </c>
      <c r="R1" s="1" t="s">
        <v>389</v>
      </c>
      <c r="S1" s="1" t="s">
        <v>390</v>
      </c>
      <c r="T1" s="1" t="s">
        <v>391</v>
      </c>
      <c r="U1" s="1" t="s">
        <v>392</v>
      </c>
      <c r="V1" s="1" t="s">
        <v>32</v>
      </c>
      <c r="W1" s="1" t="s">
        <v>33</v>
      </c>
    </row>
    <row r="2" spans="1:23" x14ac:dyDescent="0.25">
      <c r="A2" s="2" t="s">
        <v>34</v>
      </c>
      <c r="B2" s="2" t="s">
        <v>35</v>
      </c>
      <c r="C2" s="2" t="s">
        <v>186</v>
      </c>
      <c r="D2" s="2" t="s">
        <v>393</v>
      </c>
      <c r="E2" s="2" t="s">
        <v>394</v>
      </c>
      <c r="F2" s="2" t="s">
        <v>39</v>
      </c>
      <c r="G2" s="2" t="s">
        <v>40</v>
      </c>
      <c r="H2" s="2" t="s">
        <v>85</v>
      </c>
      <c r="I2" s="3">
        <v>46267.41666666667</v>
      </c>
      <c r="J2" s="2" t="s">
        <v>395</v>
      </c>
      <c r="K2" s="2" t="s">
        <v>396</v>
      </c>
      <c r="L2" s="10" t="s">
        <v>152</v>
      </c>
      <c r="M2" s="5" t="str">
        <f>IF(AND(ISNUMBER(N2),ISNUMBER(L2),L2&gt;0),ROUND(N2/L2,2),"")</f>
        <v/>
      </c>
      <c r="N2" s="6">
        <v>1800000</v>
      </c>
      <c r="O2" s="7">
        <v>3213110</v>
      </c>
      <c r="P2" s="8">
        <f>IF(AND(ISNUMBER(N2),ISNUMBER(O2),O2&gt;0),N2/O2,"")</f>
        <v>0.5602049105072655</v>
      </c>
      <c r="Q2" s="6">
        <v>1800000</v>
      </c>
      <c r="R2" s="8">
        <f>IF(AND(ISNUMBER(Q2),ISNUMBER(N2),N2&gt;0),(Q2-N2)/N2,"")</f>
        <v>0</v>
      </c>
      <c r="S2" s="5" t="str">
        <f>IF(AND(ISNUMBER(Q2),ISNUMBER(L2),L2&gt;0),ROUND(Q2/L2,2),"")</f>
        <v/>
      </c>
      <c r="T2" s="6">
        <v>1</v>
      </c>
      <c r="U2" s="6">
        <v>1</v>
      </c>
      <c r="V2" s="2" t="s">
        <v>270</v>
      </c>
      <c r="W2" s="9" t="s">
        <v>397</v>
      </c>
    </row>
    <row r="3" spans="1:23" x14ac:dyDescent="0.25">
      <c r="A3" s="2" t="s">
        <v>34</v>
      </c>
      <c r="B3" s="2" t="s">
        <v>35</v>
      </c>
      <c r="C3" s="2" t="s">
        <v>147</v>
      </c>
      <c r="D3" s="2" t="s">
        <v>398</v>
      </c>
      <c r="E3" s="2" t="s">
        <v>399</v>
      </c>
      <c r="F3" s="2" t="s">
        <v>39</v>
      </c>
      <c r="G3" s="2" t="s">
        <v>40</v>
      </c>
      <c r="H3" s="2" t="s">
        <v>41</v>
      </c>
      <c r="I3" s="3">
        <v>46267.41666666667</v>
      </c>
      <c r="J3" s="2" t="s">
        <v>395</v>
      </c>
      <c r="K3" s="2" t="s">
        <v>151</v>
      </c>
      <c r="L3" s="10" t="s">
        <v>152</v>
      </c>
      <c r="M3" s="5" t="str">
        <f>IF(AND(ISNUMBER(N3),ISNUMBER(L3),L3&gt;0),ROUND(N3/L3,2),"")</f>
        <v/>
      </c>
      <c r="N3" s="6">
        <v>648102</v>
      </c>
      <c r="O3" s="7">
        <v>925860</v>
      </c>
      <c r="P3" s="8">
        <f>IF(AND(ISNUMBER(N3),ISNUMBER(O3),O3&gt;0),N3/O3,"")</f>
        <v>0.7</v>
      </c>
      <c r="Q3" s="6">
        <v>654102</v>
      </c>
      <c r="R3" s="8">
        <f>IF(AND(ISNUMBER(Q3),ISNUMBER(N3),N3&gt;0),(Q3-N3)/N3,"")</f>
        <v>0.009257802012646157</v>
      </c>
      <c r="S3" s="5" t="str">
        <f>IF(AND(ISNUMBER(Q3),ISNUMBER(L3),L3&gt;0),ROUND(Q3/L3,2),"")</f>
        <v/>
      </c>
      <c r="T3" s="6">
        <v>2</v>
      </c>
      <c r="U3" s="6">
        <v>3</v>
      </c>
      <c r="V3" s="2" t="s">
        <v>153</v>
      </c>
      <c r="W3" s="9" t="s">
        <v>400</v>
      </c>
    </row>
    <row r="4" spans="1:23" x14ac:dyDescent="0.25">
      <c r="A4" s="2" t="s">
        <v>34</v>
      </c>
      <c r="B4" s="2" t="s">
        <v>35</v>
      </c>
      <c r="C4" s="2" t="s">
        <v>196</v>
      </c>
      <c r="D4" s="2" t="s">
        <v>401</v>
      </c>
      <c r="E4" s="2" t="s">
        <v>402</v>
      </c>
      <c r="F4" s="2" t="s">
        <v>39</v>
      </c>
      <c r="G4" s="2" t="s">
        <v>40</v>
      </c>
      <c r="H4" s="2" t="s">
        <v>41</v>
      </c>
      <c r="I4" s="3">
        <v>46266.41666666667</v>
      </c>
      <c r="J4" s="2" t="s">
        <v>395</v>
      </c>
      <c r="K4" s="2" t="s">
        <v>86</v>
      </c>
      <c r="L4" s="4">
        <v>145.75</v>
      </c>
      <c r="M4" s="5">
        <f>IF(AND(ISNUMBER(N4),ISNUMBER(L4),L4&gt;0),ROUND(N4/L4,2),"")</f>
        <v>9056.6</v>
      </c>
      <c r="N4" s="6">
        <v>1320000</v>
      </c>
      <c r="O4" s="7">
        <v>1879373.75</v>
      </c>
      <c r="P4" s="8">
        <f>IF(AND(ISNUMBER(N4),ISNUMBER(O4),O4&gt;0),N4/O4,"")</f>
        <v>0.702361624450698</v>
      </c>
      <c r="Q4" s="6">
        <v>1824000</v>
      </c>
      <c r="R4" s="8">
        <f>IF(AND(ISNUMBER(Q4),ISNUMBER(N4),N4&gt;0),(Q4-N4)/N4,"")</f>
        <v>0.38181818181818183</v>
      </c>
      <c r="S4" s="5">
        <f>IF(AND(ISNUMBER(Q4),ISNUMBER(L4),L4&gt;0),ROUND(Q4/L4,2),"")</f>
        <v>12514.58</v>
      </c>
      <c r="T4" s="6">
        <v>69</v>
      </c>
      <c r="U4" s="6">
        <v>15</v>
      </c>
      <c r="V4" s="9" t="s">
        <v>7</v>
      </c>
      <c r="W4" s="9" t="s">
        <v>403</v>
      </c>
    </row>
    <row r="5" spans="1:23" x14ac:dyDescent="0.25">
      <c r="A5" s="2" t="s">
        <v>34</v>
      </c>
      <c r="B5" s="2" t="s">
        <v>114</v>
      </c>
      <c r="C5" s="2" t="s">
        <v>404</v>
      </c>
      <c r="D5" s="2" t="s">
        <v>405</v>
      </c>
      <c r="E5" s="2" t="s">
        <v>406</v>
      </c>
      <c r="F5" s="2" t="s">
        <v>39</v>
      </c>
      <c r="G5" s="2" t="s">
        <v>40</v>
      </c>
      <c r="H5" s="2" t="s">
        <v>41</v>
      </c>
      <c r="I5" s="3">
        <v>46267.41666666667</v>
      </c>
      <c r="J5" s="2" t="s">
        <v>395</v>
      </c>
      <c r="K5" s="2" t="s">
        <v>407</v>
      </c>
      <c r="L5" s="4">
        <v>87.29</v>
      </c>
      <c r="M5" s="5">
        <f>IF(AND(ISNUMBER(N5),ISNUMBER(L5),L5&gt;0),ROUND(N5/L5,2),"")</f>
        <v>5040</v>
      </c>
      <c r="N5" s="6">
        <v>439942</v>
      </c>
      <c r="O5" s="7">
        <v>628488</v>
      </c>
      <c r="P5" s="8">
        <f>IF(AND(ISNUMBER(N5),ISNUMBER(O5),O5&gt;0),N5/O5,"")</f>
        <v>0.7000006364481104</v>
      </c>
      <c r="Q5" s="6">
        <v>525942</v>
      </c>
      <c r="R5" s="8">
        <f>IF(AND(ISNUMBER(Q5),ISNUMBER(N5),N5&gt;0),(Q5-N5)/N5,"")</f>
        <v>0.19548031331402776</v>
      </c>
      <c r="S5" s="5">
        <f>IF(AND(ISNUMBER(Q5),ISNUMBER(L5),L5&gt;0),ROUND(Q5/L5,2),"")</f>
        <v>6025.23</v>
      </c>
      <c r="T5" s="6">
        <v>19</v>
      </c>
      <c r="U5" s="6">
        <v>6</v>
      </c>
      <c r="V5" s="9" t="s">
        <v>7</v>
      </c>
      <c r="W5" s="9" t="s">
        <v>408</v>
      </c>
    </row>
    <row r="6" spans="1:23" x14ac:dyDescent="0.25">
      <c r="A6" s="2" t="s">
        <v>34</v>
      </c>
      <c r="B6" s="2" t="s">
        <v>35</v>
      </c>
      <c r="C6" s="2" t="s">
        <v>83</v>
      </c>
      <c r="D6" s="2" t="s">
        <v>409</v>
      </c>
      <c r="E6" s="2" t="s">
        <v>38</v>
      </c>
      <c r="F6" s="2" t="s">
        <v>39</v>
      </c>
      <c r="G6" s="2" t="s">
        <v>137</v>
      </c>
      <c r="H6" s="2" t="s">
        <v>85</v>
      </c>
      <c r="I6" s="3">
        <v>46267.41666666667</v>
      </c>
      <c r="J6" s="2" t="s">
        <v>395</v>
      </c>
      <c r="K6" s="2" t="s">
        <v>86</v>
      </c>
      <c r="L6" s="4">
        <v>157.14</v>
      </c>
      <c r="M6" s="5">
        <f>IF(AND(ISNUMBER(N6),ISNUMBER(L6),L6&gt;0),ROUND(N6/L6,2),"")</f>
        <v>5600.1</v>
      </c>
      <c r="N6" s="6">
        <v>880000</v>
      </c>
      <c r="O6" s="7">
        <v>1564043</v>
      </c>
      <c r="P6" s="8">
        <f>IF(AND(ISNUMBER(N6),ISNUMBER(O6),O6&gt;0),N6/O6,"")</f>
        <v>0.5626443774244059</v>
      </c>
      <c r="Q6" s="6">
        <v>1080000</v>
      </c>
      <c r="R6" s="8">
        <f>IF(AND(ISNUMBER(Q6),ISNUMBER(N6),N6&gt;0),(Q6-N6)/N6,"")</f>
        <v>0.22727272727272727</v>
      </c>
      <c r="S6" s="5">
        <f>IF(AND(ISNUMBER(Q6),ISNUMBER(L6),L6&gt;0),ROUND(Q6/L6,2),"")</f>
        <v>6872.85</v>
      </c>
      <c r="T6" s="6">
        <v>35</v>
      </c>
      <c r="U6" s="6">
        <v>8</v>
      </c>
      <c r="V6" s="9" t="s">
        <v>7</v>
      </c>
      <c r="W6" s="9" t="s">
        <v>410</v>
      </c>
    </row>
    <row r="7" spans="1:23" x14ac:dyDescent="0.25">
      <c r="A7" s="2" t="s">
        <v>34</v>
      </c>
      <c r="B7" s="2" t="s">
        <v>35</v>
      </c>
      <c r="C7" s="2" t="s">
        <v>170</v>
      </c>
      <c r="D7" s="2" t="s">
        <v>411</v>
      </c>
      <c r="E7" s="2" t="s">
        <v>412</v>
      </c>
      <c r="F7" s="2" t="s">
        <v>39</v>
      </c>
      <c r="G7" s="2" t="s">
        <v>137</v>
      </c>
      <c r="H7" s="2" t="s">
        <v>85</v>
      </c>
      <c r="I7" s="3">
        <v>46267.41666666667</v>
      </c>
      <c r="J7" s="2" t="s">
        <v>395</v>
      </c>
      <c r="K7" s="2" t="s">
        <v>243</v>
      </c>
      <c r="L7" s="4">
        <v>125.23</v>
      </c>
      <c r="M7" s="5">
        <f>IF(AND(ISNUMBER(N7),ISNUMBER(L7),L7&gt;0),ROUND(N7/L7,2),"")</f>
        <v>3992.01</v>
      </c>
      <c r="N7" s="6">
        <v>499919.2</v>
      </c>
      <c r="O7" s="7">
        <v>892712</v>
      </c>
      <c r="P7" s="8">
        <f>IF(AND(ISNUMBER(N7),ISNUMBER(O7),O7&gt;0),N7/O7,"")</f>
        <v>0.5600005376874064</v>
      </c>
      <c r="Q7" s="6">
        <v>648419.2</v>
      </c>
      <c r="R7" s="8">
        <f>IF(AND(ISNUMBER(Q7),ISNUMBER(N7),N7&gt;0),(Q7-N7)/N7,"")</f>
        <v>0.2970480029572778</v>
      </c>
      <c r="S7" s="5">
        <f>IF(AND(ISNUMBER(Q7),ISNUMBER(L7),L7&gt;0),ROUND(Q7/L7,2),"")</f>
        <v>5177.83</v>
      </c>
      <c r="T7" s="6">
        <v>34</v>
      </c>
      <c r="U7" s="6">
        <v>8</v>
      </c>
      <c r="V7" s="9" t="s">
        <v>7</v>
      </c>
      <c r="W7" s="9" t="s">
        <v>413</v>
      </c>
    </row>
    <row r="8" spans="1:23" x14ac:dyDescent="0.25">
      <c r="A8" s="2" t="s">
        <v>34</v>
      </c>
      <c r="B8" s="2" t="s">
        <v>35</v>
      </c>
      <c r="C8" s="2" t="s">
        <v>91</v>
      </c>
      <c r="D8" s="2" t="s">
        <v>414</v>
      </c>
      <c r="E8" s="2" t="s">
        <v>415</v>
      </c>
      <c r="F8" s="2" t="s">
        <v>39</v>
      </c>
      <c r="G8" s="2" t="s">
        <v>137</v>
      </c>
      <c r="H8" s="2" t="s">
        <v>85</v>
      </c>
      <c r="I8" s="3">
        <v>46267.41666666667</v>
      </c>
      <c r="J8" s="2" t="s">
        <v>395</v>
      </c>
      <c r="K8" s="2" t="s">
        <v>94</v>
      </c>
      <c r="L8" s="4">
        <v>142.72</v>
      </c>
      <c r="M8" s="5">
        <f>IF(AND(ISNUMBER(N8),ISNUMBER(L8),L8&gt;0),ROUND(N8/L8,2),"")</f>
        <v>5739.5</v>
      </c>
      <c r="N8" s="6">
        <v>819142</v>
      </c>
      <c r="O8" s="7">
        <v>1137697.09</v>
      </c>
      <c r="P8" s="8">
        <f>IF(AND(ISNUMBER(N8),ISNUMBER(O8),O8&gt;0),N8/O8,"")</f>
        <v>0.7200000836778091</v>
      </c>
      <c r="Q8" s="6">
        <v>863142</v>
      </c>
      <c r="R8" s="8">
        <f>IF(AND(ISNUMBER(Q8),ISNUMBER(N8),N8&gt;0),(Q8-N8)/N8,"")</f>
        <v>0.05371474054559527</v>
      </c>
      <c r="S8" s="5">
        <f>IF(AND(ISNUMBER(Q8),ISNUMBER(L8),L8&gt;0),ROUND(Q8/L8,2),"")</f>
        <v>6047.8</v>
      </c>
      <c r="T8" s="6">
        <v>12</v>
      </c>
      <c r="U8" s="6">
        <v>4</v>
      </c>
      <c r="V8" s="9" t="s">
        <v>7</v>
      </c>
      <c r="W8" s="9" t="s">
        <v>416</v>
      </c>
    </row>
    <row r="9" spans="1:23" x14ac:dyDescent="0.25">
      <c r="A9" s="2" t="s">
        <v>34</v>
      </c>
      <c r="B9" s="2" t="s">
        <v>35</v>
      </c>
      <c r="C9" s="2" t="s">
        <v>170</v>
      </c>
      <c r="D9" s="2" t="s">
        <v>417</v>
      </c>
      <c r="E9" s="2" t="s">
        <v>412</v>
      </c>
      <c r="F9" s="2" t="s">
        <v>39</v>
      </c>
      <c r="G9" s="2" t="s">
        <v>137</v>
      </c>
      <c r="H9" s="2" t="s">
        <v>85</v>
      </c>
      <c r="I9" s="3">
        <v>46267.41666666667</v>
      </c>
      <c r="J9" s="2" t="s">
        <v>395</v>
      </c>
      <c r="K9" s="2" t="s">
        <v>243</v>
      </c>
      <c r="L9" s="4">
        <v>125.23</v>
      </c>
      <c r="M9" s="5">
        <f>IF(AND(ISNUMBER(N9),ISNUMBER(L9),L9&gt;0),ROUND(N9/L9,2),"")</f>
        <v>4011.2</v>
      </c>
      <c r="N9" s="6">
        <v>502322.4</v>
      </c>
      <c r="O9" s="7">
        <v>897004</v>
      </c>
      <c r="P9" s="8">
        <f>IF(AND(ISNUMBER(N9),ISNUMBER(O9),O9&gt;0),N9/O9,"")</f>
        <v>0.5600001783715569</v>
      </c>
      <c r="Q9" s="6">
        <v>637322.4</v>
      </c>
      <c r="R9" s="8">
        <f>IF(AND(ISNUMBER(Q9),ISNUMBER(N9),N9&gt;0),(Q9-N9)/N9,"")</f>
        <v>0.26875170209411325</v>
      </c>
      <c r="S9" s="5">
        <f>IF(AND(ISNUMBER(Q9),ISNUMBER(L9),L9&gt;0),ROUND(Q9/L9,2),"")</f>
        <v>5089.22</v>
      </c>
      <c r="T9" s="6">
        <v>31</v>
      </c>
      <c r="U9" s="6">
        <v>10</v>
      </c>
      <c r="V9" s="9" t="s">
        <v>7</v>
      </c>
      <c r="W9" s="9" t="s">
        <v>418</v>
      </c>
    </row>
    <row r="10" spans="1:23" x14ac:dyDescent="0.25">
      <c r="A10" s="2" t="s">
        <v>34</v>
      </c>
      <c r="B10" s="2" t="s">
        <v>35</v>
      </c>
      <c r="C10" s="2" t="s">
        <v>170</v>
      </c>
      <c r="D10" s="2" t="s">
        <v>419</v>
      </c>
      <c r="E10" s="2" t="s">
        <v>412</v>
      </c>
      <c r="F10" s="2" t="s">
        <v>39</v>
      </c>
      <c r="G10" s="2" t="s">
        <v>137</v>
      </c>
      <c r="H10" s="2" t="s">
        <v>85</v>
      </c>
      <c r="I10" s="3">
        <v>46267.41666666667</v>
      </c>
      <c r="J10" s="2" t="s">
        <v>395</v>
      </c>
      <c r="K10" s="2" t="s">
        <v>243</v>
      </c>
      <c r="L10" s="4">
        <v>125.23</v>
      </c>
      <c r="M10" s="5">
        <f>IF(AND(ISNUMBER(N10),ISNUMBER(L10),L10&gt;0),ROUND(N10/L10,2),"")</f>
        <v>4031.14</v>
      </c>
      <c r="N10" s="6">
        <v>504820</v>
      </c>
      <c r="O10" s="7">
        <v>901463</v>
      </c>
      <c r="P10" s="8">
        <f>IF(AND(ISNUMBER(N10),ISNUMBER(O10),O10&gt;0),N10/O10,"")</f>
        <v>0.5600007987016661</v>
      </c>
      <c r="Q10" s="6">
        <v>599320</v>
      </c>
      <c r="R10" s="8">
        <f>IF(AND(ISNUMBER(Q10),ISNUMBER(N10),N10&gt;0),(Q10-N10)/N10,"")</f>
        <v>0.187195435996989</v>
      </c>
      <c r="S10" s="5">
        <f>IF(AND(ISNUMBER(Q10),ISNUMBER(L10),L10&gt;0),ROUND(Q10/L10,2),"")</f>
        <v>4785.75</v>
      </c>
      <c r="T10" s="6">
        <v>15</v>
      </c>
      <c r="U10" s="6">
        <v>8</v>
      </c>
      <c r="V10" s="9" t="s">
        <v>7</v>
      </c>
      <c r="W10" s="9" t="s">
        <v>420</v>
      </c>
    </row>
    <row r="11" spans="1:23" x14ac:dyDescent="0.25">
      <c r="A11" s="2" t="s">
        <v>34</v>
      </c>
      <c r="B11" s="2" t="s">
        <v>35</v>
      </c>
      <c r="C11" s="2" t="s">
        <v>36</v>
      </c>
      <c r="D11" s="2" t="s">
        <v>421</v>
      </c>
      <c r="E11" s="2" t="s">
        <v>422</v>
      </c>
      <c r="F11" s="2" t="s">
        <v>39</v>
      </c>
      <c r="G11" s="2" t="s">
        <v>137</v>
      </c>
      <c r="H11" s="2" t="s">
        <v>41</v>
      </c>
      <c r="I11" s="3">
        <v>46267.41666666667</v>
      </c>
      <c r="J11" s="2" t="s">
        <v>395</v>
      </c>
      <c r="K11" s="2" t="s">
        <v>86</v>
      </c>
      <c r="L11" s="4">
        <v>78.89</v>
      </c>
      <c r="M11" s="5">
        <f>IF(AND(ISNUMBER(N11),ISNUMBER(L11),L11&gt;0),ROUND(N11/L11,2),"")</f>
        <v>823.93</v>
      </c>
      <c r="N11" s="6">
        <v>65000</v>
      </c>
      <c r="O11" s="7">
        <v>86779</v>
      </c>
      <c r="P11" s="8">
        <f>IF(AND(ISNUMBER(N11),ISNUMBER(O11),O11&gt;0),N11/O11,"")</f>
        <v>0.7490291429954251</v>
      </c>
      <c r="Q11" s="6">
        <v>88000</v>
      </c>
      <c r="R11" s="8">
        <f>IF(AND(ISNUMBER(Q11),ISNUMBER(N11),N11&gt;0),(Q11-N11)/N11,"")</f>
        <v>0.35384615384615387</v>
      </c>
      <c r="S11" s="5">
        <f>IF(AND(ISNUMBER(Q11),ISNUMBER(L11),L11&gt;0),ROUND(Q11/L11,2),"")</f>
        <v>1115.48</v>
      </c>
      <c r="T11" s="6">
        <v>21</v>
      </c>
      <c r="U11" s="6">
        <v>7</v>
      </c>
      <c r="V11" s="9" t="s">
        <v>7</v>
      </c>
      <c r="W11" s="9" t="s">
        <v>423</v>
      </c>
    </row>
    <row r="12" spans="1:23" x14ac:dyDescent="0.25">
      <c r="A12" s="2" t="s">
        <v>34</v>
      </c>
      <c r="B12" s="2" t="s">
        <v>35</v>
      </c>
      <c r="C12" s="2" t="s">
        <v>88</v>
      </c>
      <c r="D12" s="2" t="s">
        <v>424</v>
      </c>
      <c r="E12" s="2" t="s">
        <v>425</v>
      </c>
      <c r="F12" s="2" t="s">
        <v>39</v>
      </c>
      <c r="G12" s="2" t="s">
        <v>137</v>
      </c>
      <c r="H12" s="2" t="s">
        <v>41</v>
      </c>
      <c r="I12" s="3">
        <v>46267.41666666667</v>
      </c>
      <c r="J12" s="2" t="s">
        <v>395</v>
      </c>
      <c r="K12" s="2" t="s">
        <v>104</v>
      </c>
      <c r="L12" s="4">
        <v>126.3</v>
      </c>
      <c r="M12" s="5">
        <f>IF(AND(ISNUMBER(N12),ISNUMBER(L12),L12&gt;0),ROUND(N12/L12,2),"")</f>
        <v>7105.94</v>
      </c>
      <c r="N12" s="6">
        <v>897480</v>
      </c>
      <c r="O12" s="7">
        <v>1282113</v>
      </c>
      <c r="P12" s="8">
        <f>IF(AND(ISNUMBER(N12),ISNUMBER(O12),O12&gt;0),N12/O12,"")</f>
        <v>0.7000007019662073</v>
      </c>
      <c r="Q12" s="6">
        <v>986480</v>
      </c>
      <c r="R12" s="8">
        <f>IF(AND(ISNUMBER(Q12),ISNUMBER(N12),N12&gt;0),(Q12-N12)/N12,"")</f>
        <v>0.09916655524357089</v>
      </c>
      <c r="S12" s="5">
        <f>IF(AND(ISNUMBER(Q12),ISNUMBER(L12),L12&gt;0),ROUND(Q12/L12,2),"")</f>
        <v>7810.61</v>
      </c>
      <c r="T12" s="6">
        <v>11</v>
      </c>
      <c r="U12" s="6">
        <v>2</v>
      </c>
      <c r="V12" s="9" t="s">
        <v>7</v>
      </c>
      <c r="W12" s="9" t="s">
        <v>426</v>
      </c>
    </row>
    <row r="13" spans="1:23" x14ac:dyDescent="0.25">
      <c r="A13" s="2" t="s">
        <v>34</v>
      </c>
      <c r="B13" s="2" t="s">
        <v>35</v>
      </c>
      <c r="C13" s="2" t="s">
        <v>101</v>
      </c>
      <c r="D13" s="2" t="s">
        <v>427</v>
      </c>
      <c r="E13" s="2" t="s">
        <v>428</v>
      </c>
      <c r="F13" s="2" t="s">
        <v>181</v>
      </c>
      <c r="G13" s="2" t="s">
        <v>137</v>
      </c>
      <c r="H13" s="2" t="s">
        <v>41</v>
      </c>
      <c r="I13" s="3">
        <v>46267.41666666667</v>
      </c>
      <c r="J13" s="2" t="s">
        <v>395</v>
      </c>
      <c r="K13" s="2" t="s">
        <v>138</v>
      </c>
      <c r="L13" s="4">
        <v>94.01</v>
      </c>
      <c r="M13" s="5">
        <f>IF(AND(ISNUMBER(N13),ISNUMBER(L13),L13&gt;0),ROUND(N13/L13,2),"")</f>
        <v>3220.9</v>
      </c>
      <c r="N13" s="6">
        <v>302796.9</v>
      </c>
      <c r="O13" s="7">
        <v>432567</v>
      </c>
      <c r="P13" s="8">
        <f>IF(AND(ISNUMBER(N13),ISNUMBER(O13),O13&gt;0),N13/O13,"")</f>
        <v>0.7000000000000001</v>
      </c>
      <c r="Q13" s="6">
        <v>302796.9</v>
      </c>
      <c r="R13" s="8">
        <f>IF(AND(ISNUMBER(Q13),ISNUMBER(N13),N13&gt;0),(Q13-N13)/N13,"")</f>
        <v>0</v>
      </c>
      <c r="S13" s="5">
        <f>IF(AND(ISNUMBER(Q13),ISNUMBER(L13),L13&gt;0),ROUND(Q13/L13,2),"")</f>
        <v>3220.9</v>
      </c>
      <c r="T13" s="6">
        <v>1</v>
      </c>
      <c r="U13" s="6">
        <v>1</v>
      </c>
      <c r="V13" s="9" t="s">
        <v>7</v>
      </c>
      <c r="W13" s="9" t="s">
        <v>429</v>
      </c>
    </row>
    <row r="14" spans="1:23" x14ac:dyDescent="0.25">
      <c r="A14" s="2" t="s">
        <v>34</v>
      </c>
      <c r="B14" s="2" t="s">
        <v>35</v>
      </c>
      <c r="C14" s="2" t="s">
        <v>133</v>
      </c>
      <c r="D14" s="2" t="s">
        <v>430</v>
      </c>
      <c r="E14" s="2" t="s">
        <v>431</v>
      </c>
      <c r="F14" s="2" t="s">
        <v>39</v>
      </c>
      <c r="G14" s="2" t="s">
        <v>137</v>
      </c>
      <c r="H14" s="2" t="s">
        <v>85</v>
      </c>
      <c r="I14" s="3">
        <v>46267.41666666667</v>
      </c>
      <c r="J14" s="2" t="s">
        <v>395</v>
      </c>
      <c r="K14" s="2" t="s">
        <v>138</v>
      </c>
      <c r="L14" s="4">
        <v>165.26</v>
      </c>
      <c r="M14" s="5">
        <f>IF(AND(ISNUMBER(N14),ISNUMBER(L14),L14&gt;0),ROUND(N14/L14,2),"")</f>
        <v>3742.71</v>
      </c>
      <c r="N14" s="6">
        <v>618520</v>
      </c>
      <c r="O14" s="7">
        <v>1104500</v>
      </c>
      <c r="P14" s="8">
        <f>IF(AND(ISNUMBER(N14),ISNUMBER(O14),O14&gt;0),N14/O14,"")</f>
        <v>0.56</v>
      </c>
      <c r="Q14" s="6">
        <v>618520</v>
      </c>
      <c r="R14" s="8">
        <f>IF(AND(ISNUMBER(Q14),ISNUMBER(N14),N14&gt;0),(Q14-N14)/N14,"")</f>
        <v>0</v>
      </c>
      <c r="S14" s="5">
        <f>IF(AND(ISNUMBER(Q14),ISNUMBER(L14),L14&gt;0),ROUND(Q14/L14,2),"")</f>
        <v>3742.71</v>
      </c>
      <c r="T14" s="6">
        <v>1</v>
      </c>
      <c r="U14" s="6">
        <v>1</v>
      </c>
      <c r="V14" s="2" t="s">
        <v>194</v>
      </c>
      <c r="W14" s="9" t="s">
        <v>432</v>
      </c>
    </row>
    <row r="15" spans="1:23" x14ac:dyDescent="0.25">
      <c r="A15" s="2" t="s">
        <v>34</v>
      </c>
      <c r="B15" s="2" t="s">
        <v>35</v>
      </c>
      <c r="C15" s="2" t="s">
        <v>133</v>
      </c>
      <c r="D15" s="2" t="s">
        <v>433</v>
      </c>
      <c r="E15" s="2" t="s">
        <v>434</v>
      </c>
      <c r="F15" s="2" t="s">
        <v>39</v>
      </c>
      <c r="G15" s="2" t="s">
        <v>137</v>
      </c>
      <c r="H15" s="2" t="s">
        <v>85</v>
      </c>
      <c r="I15" s="3">
        <v>46267.41736111111</v>
      </c>
      <c r="J15" s="2" t="s">
        <v>395</v>
      </c>
      <c r="K15" s="2" t="s">
        <v>138</v>
      </c>
      <c r="L15" s="4">
        <v>274.21</v>
      </c>
      <c r="M15" s="5">
        <f>IF(AND(ISNUMBER(N15),ISNUMBER(L15),L15&gt;0),ROUND(N15/L15,2),"")</f>
        <v>3646.2</v>
      </c>
      <c r="N15" s="6">
        <v>999824</v>
      </c>
      <c r="O15" s="7">
        <v>1785400</v>
      </c>
      <c r="P15" s="8">
        <f>IF(AND(ISNUMBER(N15),ISNUMBER(O15),O15&gt;0),N15/O15,"")</f>
        <v>0.56</v>
      </c>
      <c r="Q15" s="6">
        <v>999824</v>
      </c>
      <c r="R15" s="8">
        <f>IF(AND(ISNUMBER(Q15),ISNUMBER(N15),N15&gt;0),(Q15-N15)/N15,"")</f>
        <v>0</v>
      </c>
      <c r="S15" s="5">
        <f>IF(AND(ISNUMBER(Q15),ISNUMBER(L15),L15&gt;0),ROUND(Q15/L15,2),"")</f>
        <v>3646.2</v>
      </c>
      <c r="T15" s="6">
        <v>1</v>
      </c>
      <c r="U15" s="6">
        <v>1</v>
      </c>
      <c r="V15" s="9" t="s">
        <v>7</v>
      </c>
      <c r="W15" s="9" t="s">
        <v>435</v>
      </c>
    </row>
    <row r="16" spans="1:23" x14ac:dyDescent="0.25">
      <c r="A16" s="2" t="s">
        <v>34</v>
      </c>
      <c r="B16" s="2" t="s">
        <v>35</v>
      </c>
      <c r="C16" s="2" t="s">
        <v>170</v>
      </c>
      <c r="D16" s="2" t="s">
        <v>436</v>
      </c>
      <c r="E16" s="2" t="s">
        <v>412</v>
      </c>
      <c r="F16" s="2" t="s">
        <v>39</v>
      </c>
      <c r="G16" s="2" t="s">
        <v>137</v>
      </c>
      <c r="H16" s="2" t="s">
        <v>85</v>
      </c>
      <c r="I16" s="3">
        <v>46267.41666666667</v>
      </c>
      <c r="J16" s="2" t="s">
        <v>395</v>
      </c>
      <c r="K16" s="2" t="s">
        <v>243</v>
      </c>
      <c r="L16" s="4">
        <v>125.23</v>
      </c>
      <c r="M16" s="5">
        <f>IF(AND(ISNUMBER(N16),ISNUMBER(L16),L16&gt;0),ROUND(N16/L16,2),"")</f>
        <v>4030.39</v>
      </c>
      <c r="N16" s="6">
        <v>504725.6</v>
      </c>
      <c r="O16" s="7">
        <v>901295</v>
      </c>
      <c r="P16" s="8">
        <f>IF(AND(ISNUMBER(N16),ISNUMBER(O16),O16&gt;0),N16/O16,"")</f>
        <v>0.5600004438058571</v>
      </c>
      <c r="Q16" s="6">
        <v>603725.6</v>
      </c>
      <c r="R16" s="8">
        <f>IF(AND(ISNUMBER(Q16),ISNUMBER(N16),N16&gt;0),(Q16-N16)/N16,"")</f>
        <v>0.19614618319340252</v>
      </c>
      <c r="S16" s="5">
        <f>IF(AND(ISNUMBER(Q16),ISNUMBER(L16),L16&gt;0),ROUND(Q16/L16,2),"")</f>
        <v>4820.93</v>
      </c>
      <c r="T16" s="6">
        <v>19</v>
      </c>
      <c r="U16" s="6">
        <v>9</v>
      </c>
      <c r="V16" s="9" t="s">
        <v>7</v>
      </c>
      <c r="W16" s="9" t="s">
        <v>437</v>
      </c>
    </row>
    <row r="17" spans="1:23" x14ac:dyDescent="0.25">
      <c r="A17" s="2" t="s">
        <v>34</v>
      </c>
      <c r="B17" s="2" t="s">
        <v>35</v>
      </c>
      <c r="C17" s="2" t="s">
        <v>147</v>
      </c>
      <c r="D17" s="2" t="s">
        <v>438</v>
      </c>
      <c r="E17" s="2" t="s">
        <v>439</v>
      </c>
      <c r="F17" s="2" t="s">
        <v>39</v>
      </c>
      <c r="G17" s="2" t="s">
        <v>137</v>
      </c>
      <c r="H17" s="2" t="s">
        <v>41</v>
      </c>
      <c r="I17" s="3">
        <v>46266.66666666667</v>
      </c>
      <c r="J17" s="2" t="s">
        <v>395</v>
      </c>
      <c r="K17" s="2" t="s">
        <v>151</v>
      </c>
      <c r="L17" s="4">
        <v>92.3</v>
      </c>
      <c r="M17" s="5">
        <f>IF(AND(ISNUMBER(N17),ISNUMBER(L17),L17&gt;0),ROUND(N17/L17,2),"")</f>
        <v>7700</v>
      </c>
      <c r="N17" s="6">
        <v>710710</v>
      </c>
      <c r="O17" s="7">
        <v>1015300</v>
      </c>
      <c r="P17" s="8">
        <f>IF(AND(ISNUMBER(N17),ISNUMBER(O17),O17&gt;0),N17/O17,"")</f>
        <v>0.7</v>
      </c>
      <c r="Q17" s="6">
        <v>843710</v>
      </c>
      <c r="R17" s="8">
        <f>IF(AND(ISNUMBER(Q17),ISNUMBER(N17),N17&gt;0),(Q17-N17)/N17,"")</f>
        <v>0.18713680685511672</v>
      </c>
      <c r="S17" s="5">
        <f>IF(AND(ISNUMBER(Q17),ISNUMBER(L17),L17&gt;0),ROUND(Q17/L17,2),"")</f>
        <v>9140.95</v>
      </c>
      <c r="T17" s="6">
        <v>20</v>
      </c>
      <c r="U17" s="6">
        <v>6</v>
      </c>
      <c r="V17" s="9" t="s">
        <v>7</v>
      </c>
      <c r="W17" s="9" t="s">
        <v>440</v>
      </c>
    </row>
    <row r="18" spans="1:23" x14ac:dyDescent="0.25">
      <c r="A18" s="2" t="s">
        <v>34</v>
      </c>
      <c r="B18" s="2" t="s">
        <v>114</v>
      </c>
      <c r="C18" s="2" t="s">
        <v>404</v>
      </c>
      <c r="D18" s="2" t="s">
        <v>441</v>
      </c>
      <c r="E18" s="2" t="s">
        <v>442</v>
      </c>
      <c r="F18" s="2" t="s">
        <v>39</v>
      </c>
      <c r="G18" s="2" t="s">
        <v>137</v>
      </c>
      <c r="H18" s="2" t="s">
        <v>41</v>
      </c>
      <c r="I18" s="3">
        <v>46267.44236111111</v>
      </c>
      <c r="J18" s="2" t="s">
        <v>395</v>
      </c>
      <c r="K18" s="2" t="s">
        <v>407</v>
      </c>
      <c r="L18" s="4">
        <v>96.11</v>
      </c>
      <c r="M18" s="5">
        <f>IF(AND(ISNUMBER(N18),ISNUMBER(L18),L18&gt;0),ROUND(N18/L18,2),"")</f>
        <v>4830.01</v>
      </c>
      <c r="N18" s="6">
        <v>464212</v>
      </c>
      <c r="O18" s="7">
        <v>663159</v>
      </c>
      <c r="P18" s="8">
        <f>IF(AND(ISNUMBER(N18),ISNUMBER(O18),O18&gt;0),N18/O18,"")</f>
        <v>0.7000010555537963</v>
      </c>
      <c r="Q18" s="6">
        <v>648212</v>
      </c>
      <c r="R18" s="8">
        <f>IF(AND(ISNUMBER(Q18),ISNUMBER(N18),N18&gt;0),(Q18-N18)/N18,"")</f>
        <v>0.39637062376672727</v>
      </c>
      <c r="S18" s="5">
        <f>IF(AND(ISNUMBER(Q18),ISNUMBER(L18),L18&gt;0),ROUND(Q18/L18,2),"")</f>
        <v>6744.48</v>
      </c>
      <c r="T18" s="6">
        <v>37</v>
      </c>
      <c r="U18" s="6">
        <v>9</v>
      </c>
      <c r="V18" s="9" t="s">
        <v>7</v>
      </c>
      <c r="W18" s="9" t="s">
        <v>443</v>
      </c>
    </row>
    <row r="19" spans="1:23" x14ac:dyDescent="0.25">
      <c r="A19" s="2" t="s">
        <v>34</v>
      </c>
      <c r="B19" s="2" t="s">
        <v>114</v>
      </c>
      <c r="C19" s="2" t="s">
        <v>302</v>
      </c>
      <c r="D19" s="2" t="s">
        <v>444</v>
      </c>
      <c r="E19" s="2" t="s">
        <v>445</v>
      </c>
      <c r="F19" s="2" t="s">
        <v>181</v>
      </c>
      <c r="G19" s="2" t="s">
        <v>137</v>
      </c>
      <c r="H19" s="2" t="s">
        <v>41</v>
      </c>
      <c r="I19" s="3">
        <v>46267.43680555555</v>
      </c>
      <c r="J19" s="2" t="s">
        <v>395</v>
      </c>
      <c r="K19" s="2" t="s">
        <v>305</v>
      </c>
      <c r="L19" s="4">
        <v>56.06</v>
      </c>
      <c r="M19" s="5">
        <f>IF(AND(ISNUMBER(N19),ISNUMBER(L19),L19&gt;0),ROUND(N19/L19,2),"")</f>
        <v>16054.23</v>
      </c>
      <c r="N19" s="6">
        <v>900000</v>
      </c>
      <c r="O19" s="7">
        <v>988898</v>
      </c>
      <c r="P19" s="8">
        <f>IF(AND(ISNUMBER(N19),ISNUMBER(O19),O19&gt;0),N19/O19,"")</f>
        <v>0.9101039743229332</v>
      </c>
      <c r="Q19" s="6">
        <v>1130000</v>
      </c>
      <c r="R19" s="8">
        <f>IF(AND(ISNUMBER(Q19),ISNUMBER(N19),N19&gt;0),(Q19-N19)/N19,"")</f>
        <v>0.25555555555555554</v>
      </c>
      <c r="S19" s="5">
        <f>IF(AND(ISNUMBER(Q19),ISNUMBER(L19),L19&gt;0),ROUND(Q19/L19,2),"")</f>
        <v>20156.97</v>
      </c>
      <c r="T19" s="6">
        <v>33</v>
      </c>
      <c r="U19" s="6">
        <v>4</v>
      </c>
      <c r="V19" s="9" t="s">
        <v>7</v>
      </c>
      <c r="W19" s="9" t="s">
        <v>446</v>
      </c>
    </row>
    <row r="20" spans="1:23" x14ac:dyDescent="0.25">
      <c r="A20" s="2" t="s">
        <v>34</v>
      </c>
      <c r="B20" s="2" t="s">
        <v>114</v>
      </c>
      <c r="C20" s="2" t="s">
        <v>302</v>
      </c>
      <c r="D20" s="2" t="s">
        <v>447</v>
      </c>
      <c r="E20" s="2" t="s">
        <v>445</v>
      </c>
      <c r="F20" s="2" t="s">
        <v>39</v>
      </c>
      <c r="G20" s="2" t="s">
        <v>137</v>
      </c>
      <c r="H20" s="2" t="s">
        <v>41</v>
      </c>
      <c r="I20" s="3">
        <v>46267.419444444444</v>
      </c>
      <c r="J20" s="2" t="s">
        <v>395</v>
      </c>
      <c r="K20" s="2" t="s">
        <v>305</v>
      </c>
      <c r="L20" s="4">
        <v>115.3</v>
      </c>
      <c r="M20" s="5">
        <f>IF(AND(ISNUMBER(N20),ISNUMBER(L20),L20&gt;0),ROUND(N20/L20,2),"")</f>
        <v>8065.92</v>
      </c>
      <c r="N20" s="6">
        <v>930000</v>
      </c>
      <c r="O20" s="7">
        <v>1026790</v>
      </c>
      <c r="P20" s="8">
        <f>IF(AND(ISNUMBER(N20),ISNUMBER(O20),O20&gt;0),N20/O20,"")</f>
        <v>0.9057353499741914</v>
      </c>
      <c r="Q20" s="6">
        <v>930000</v>
      </c>
      <c r="R20" s="8">
        <f>IF(AND(ISNUMBER(Q20),ISNUMBER(N20),N20&gt;0),(Q20-N20)/N20,"")</f>
        <v>0</v>
      </c>
      <c r="S20" s="5">
        <f>IF(AND(ISNUMBER(Q20),ISNUMBER(L20),L20&gt;0),ROUND(Q20/L20,2),"")</f>
        <v>8065.92</v>
      </c>
      <c r="T20" s="6">
        <v>1</v>
      </c>
      <c r="U20" s="6">
        <v>1</v>
      </c>
      <c r="V20" s="9" t="s">
        <v>7</v>
      </c>
      <c r="W20" s="9" t="s">
        <v>448</v>
      </c>
    </row>
    <row r="21" spans="1:23" x14ac:dyDescent="0.25">
      <c r="A21" s="2" t="s">
        <v>34</v>
      </c>
      <c r="B21" s="2" t="s">
        <v>114</v>
      </c>
      <c r="C21" s="2" t="s">
        <v>115</v>
      </c>
      <c r="D21" s="2" t="s">
        <v>449</v>
      </c>
      <c r="E21" s="2" t="s">
        <v>450</v>
      </c>
      <c r="F21" s="2" t="s">
        <v>39</v>
      </c>
      <c r="G21" s="2" t="s">
        <v>137</v>
      </c>
      <c r="H21" s="2" t="s">
        <v>85</v>
      </c>
      <c r="I21" s="3">
        <v>46267.41666666667</v>
      </c>
      <c r="J21" s="2" t="s">
        <v>395</v>
      </c>
      <c r="K21" s="2" t="s">
        <v>350</v>
      </c>
      <c r="L21" s="4">
        <v>166.54</v>
      </c>
      <c r="M21" s="5">
        <f>IF(AND(ISNUMBER(N21),ISNUMBER(L21),L21&gt;0),ROUND(N21/L21,2),"")</f>
        <v>4773.6</v>
      </c>
      <c r="N21" s="6">
        <v>794996</v>
      </c>
      <c r="O21" s="7">
        <v>1419635</v>
      </c>
      <c r="P21" s="8">
        <f>IF(AND(ISNUMBER(N21),ISNUMBER(O21),O21&gt;0),N21/O21,"")</f>
        <v>0.5600002817625658</v>
      </c>
      <c r="Q21" s="6">
        <v>794996</v>
      </c>
      <c r="R21" s="8">
        <f>IF(AND(ISNUMBER(Q21),ISNUMBER(N21),N21&gt;0),(Q21-N21)/N21,"")</f>
        <v>0</v>
      </c>
      <c r="S21" s="5">
        <f>IF(AND(ISNUMBER(Q21),ISNUMBER(L21),L21&gt;0),ROUND(Q21/L21,2),"")</f>
        <v>4773.6</v>
      </c>
      <c r="T21" s="6">
        <v>1</v>
      </c>
      <c r="U21" s="6">
        <v>1</v>
      </c>
      <c r="V21" s="2" t="s">
        <v>194</v>
      </c>
      <c r="W21" s="9" t="s">
        <v>451</v>
      </c>
    </row>
    <row r="22" spans="1:23" x14ac:dyDescent="0.25">
      <c r="A22" s="2" t="s">
        <v>34</v>
      </c>
      <c r="B22" s="2" t="s">
        <v>114</v>
      </c>
      <c r="C22" s="2" t="s">
        <v>302</v>
      </c>
      <c r="D22" s="2" t="s">
        <v>452</v>
      </c>
      <c r="E22" s="2" t="s">
        <v>445</v>
      </c>
      <c r="F22" s="2" t="s">
        <v>181</v>
      </c>
      <c r="G22" s="2" t="s">
        <v>137</v>
      </c>
      <c r="H22" s="2" t="s">
        <v>41</v>
      </c>
      <c r="I22" s="3">
        <v>46267.41666666667</v>
      </c>
      <c r="J22" s="2" t="s">
        <v>395</v>
      </c>
      <c r="K22" s="2" t="s">
        <v>305</v>
      </c>
      <c r="L22" s="4">
        <v>84.78</v>
      </c>
      <c r="M22" s="5">
        <f>IF(AND(ISNUMBER(N22),ISNUMBER(L22),L22&gt;0),ROUND(N22/L22,2),"")</f>
        <v>16749.23</v>
      </c>
      <c r="N22" s="6">
        <v>1420000</v>
      </c>
      <c r="O22" s="7">
        <v>1566734</v>
      </c>
      <c r="P22" s="8">
        <f>IF(AND(ISNUMBER(N22),ISNUMBER(O22),O22&gt;0),N22/O22,"")</f>
        <v>0.9063440252142355</v>
      </c>
      <c r="Q22" s="6">
        <v>1425000</v>
      </c>
      <c r="R22" s="8">
        <f>IF(AND(ISNUMBER(Q22),ISNUMBER(N22),N22&gt;0),(Q22-N22)/N22,"")</f>
        <v>0.0035211267605633804</v>
      </c>
      <c r="S22" s="5">
        <f>IF(AND(ISNUMBER(Q22),ISNUMBER(L22),L22&gt;0),ROUND(Q22/L22,2),"")</f>
        <v>16808.21</v>
      </c>
      <c r="T22" s="6">
        <v>2</v>
      </c>
      <c r="U22" s="6">
        <v>3</v>
      </c>
      <c r="V22" s="9" t="s">
        <v>7</v>
      </c>
      <c r="W22" s="9" t="s">
        <v>453</v>
      </c>
    </row>
    <row r="23" spans="1:23" x14ac:dyDescent="0.25">
      <c r="A23" s="2" t="s">
        <v>34</v>
      </c>
      <c r="B23" s="2" t="s">
        <v>114</v>
      </c>
      <c r="C23" s="2" t="s">
        <v>115</v>
      </c>
      <c r="D23" s="2" t="s">
        <v>454</v>
      </c>
      <c r="E23" s="2" t="s">
        <v>455</v>
      </c>
      <c r="F23" s="2" t="s">
        <v>39</v>
      </c>
      <c r="G23" s="2" t="s">
        <v>137</v>
      </c>
      <c r="H23" s="2" t="s">
        <v>150</v>
      </c>
      <c r="I23" s="3">
        <v>46266.76388888889</v>
      </c>
      <c r="J23" s="2" t="s">
        <v>395</v>
      </c>
      <c r="K23" s="2" t="s">
        <v>350</v>
      </c>
      <c r="L23" s="4">
        <v>133.82</v>
      </c>
      <c r="M23" s="5">
        <f>IF(AND(ISNUMBER(N23),ISNUMBER(L23),L23&gt;0),ROUND(N23/L23,2),"")</f>
        <v>1950.81</v>
      </c>
      <c r="N23" s="6">
        <v>261058</v>
      </c>
      <c r="O23" s="7">
        <v>466174</v>
      </c>
      <c r="P23" s="8">
        <f>IF(AND(ISNUMBER(N23),ISNUMBER(O23),O23&gt;0),N23/O23,"")</f>
        <v>0.560001201268196</v>
      </c>
      <c r="Q23" s="6">
        <v>261058</v>
      </c>
      <c r="R23" s="8">
        <f>IF(AND(ISNUMBER(Q23),ISNUMBER(N23),N23&gt;0),(Q23-N23)/N23,"")</f>
        <v>0</v>
      </c>
      <c r="S23" s="5">
        <f>IF(AND(ISNUMBER(Q23),ISNUMBER(L23),L23&gt;0),ROUND(Q23/L23,2),"")</f>
        <v>1950.81</v>
      </c>
      <c r="T23" s="6">
        <v>1</v>
      </c>
      <c r="U23" s="6">
        <v>1</v>
      </c>
      <c r="V23" s="2" t="s">
        <v>236</v>
      </c>
      <c r="W23" s="9" t="s">
        <v>456</v>
      </c>
    </row>
  </sheetData>
  <autoFilter ref="A1:W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391</v>
      </c>
      <c r="R1" s="1" t="s">
        <v>392</v>
      </c>
      <c r="S1" s="1" t="s">
        <v>32</v>
      </c>
      <c r="T1" s="1" t="s">
        <v>33</v>
      </c>
    </row>
    <row r="2" spans="1:20" x14ac:dyDescent="0.25">
      <c r="A2" s="2" t="s">
        <v>34</v>
      </c>
      <c r="B2" s="2" t="s">
        <v>35</v>
      </c>
      <c r="C2" s="2" t="s">
        <v>186</v>
      </c>
      <c r="D2" s="2" t="s">
        <v>457</v>
      </c>
      <c r="E2" s="2" t="s">
        <v>458</v>
      </c>
      <c r="F2" s="2" t="s">
        <v>39</v>
      </c>
      <c r="G2" s="2" t="s">
        <v>40</v>
      </c>
      <c r="H2" s="2" t="s">
        <v>41</v>
      </c>
      <c r="I2" s="3">
        <v>46267.41666666667</v>
      </c>
      <c r="J2" s="2" t="s">
        <v>459</v>
      </c>
      <c r="K2" s="2" t="s">
        <v>86</v>
      </c>
      <c r="L2" s="4">
        <v>88.46</v>
      </c>
      <c r="M2" s="5">
        <f>IF(AND(ISNUMBER(N2),ISNUMBER(L2),L2&gt;0),ROUND(N2/L2,2),"")</f>
        <v>7008.82</v>
      </c>
      <c r="N2" s="6">
        <v>620000</v>
      </c>
      <c r="O2" s="7">
        <v>876525.77</v>
      </c>
      <c r="P2" s="8">
        <f>IF(AND(ISNUMBER(N2),ISNUMBER(O2),O2&gt;0),N2/O2,"")</f>
        <v>0.7073380169986331</v>
      </c>
      <c r="Q2" s="6">
        <v>0</v>
      </c>
      <c r="R2" s="6">
        <v>0</v>
      </c>
      <c r="S2" s="9" t="s">
        <v>7</v>
      </c>
      <c r="T2" s="9" t="s">
        <v>460</v>
      </c>
    </row>
    <row r="3" spans="1:20" x14ac:dyDescent="0.25">
      <c r="A3" s="2" t="s">
        <v>34</v>
      </c>
      <c r="B3" s="2" t="s">
        <v>35</v>
      </c>
      <c r="C3" s="2" t="s">
        <v>101</v>
      </c>
      <c r="D3" s="2" t="s">
        <v>461</v>
      </c>
      <c r="E3" s="2" t="s">
        <v>462</v>
      </c>
      <c r="F3" s="2" t="s">
        <v>39</v>
      </c>
      <c r="G3" s="2" t="s">
        <v>40</v>
      </c>
      <c r="H3" s="2" t="s">
        <v>41</v>
      </c>
      <c r="I3" s="3">
        <v>46267.41666666667</v>
      </c>
      <c r="J3" s="2" t="s">
        <v>459</v>
      </c>
      <c r="K3" s="2" t="s">
        <v>104</v>
      </c>
      <c r="L3" s="4">
        <v>121.65</v>
      </c>
      <c r="M3" s="5">
        <f>IF(AND(ISNUMBER(N3),ISNUMBER(L3),L3&gt;0),ROUND(N3/L3,2),"")</f>
        <v>5054.5</v>
      </c>
      <c r="N3" s="6">
        <v>614880</v>
      </c>
      <c r="O3" s="7">
        <v>878400</v>
      </c>
      <c r="P3" s="8">
        <f>IF(AND(ISNUMBER(N3),ISNUMBER(O3),O3&gt;0),N3/O3,"")</f>
        <v>0.7</v>
      </c>
      <c r="Q3" s="6">
        <v>0</v>
      </c>
      <c r="R3" s="6">
        <v>0</v>
      </c>
      <c r="S3" s="9" t="s">
        <v>7</v>
      </c>
      <c r="T3" s="9" t="s">
        <v>463</v>
      </c>
    </row>
    <row r="4" spans="1:20" x14ac:dyDescent="0.25">
      <c r="A4" s="2" t="s">
        <v>34</v>
      </c>
      <c r="B4" s="2" t="s">
        <v>35</v>
      </c>
      <c r="C4" s="2" t="s">
        <v>88</v>
      </c>
      <c r="D4" s="2" t="s">
        <v>464</v>
      </c>
      <c r="E4" s="2" t="s">
        <v>465</v>
      </c>
      <c r="F4" s="2" t="s">
        <v>39</v>
      </c>
      <c r="G4" s="2" t="s">
        <v>40</v>
      </c>
      <c r="H4" s="2" t="s">
        <v>85</v>
      </c>
      <c r="I4" s="3">
        <v>46267.41666666667</v>
      </c>
      <c r="J4" s="2" t="s">
        <v>459</v>
      </c>
      <c r="K4" s="2" t="s">
        <v>104</v>
      </c>
      <c r="L4" s="4">
        <v>63.93</v>
      </c>
      <c r="M4" s="5">
        <f>IF(AND(ISNUMBER(N4),ISNUMBER(L4),L4&gt;0),ROUND(N4/L4,2),"")</f>
        <v>5879.43</v>
      </c>
      <c r="N4" s="6">
        <v>375872</v>
      </c>
      <c r="O4" s="7">
        <v>671200</v>
      </c>
      <c r="P4" s="8">
        <f>IF(AND(ISNUMBER(N4),ISNUMBER(O4),O4&gt;0),N4/O4,"")</f>
        <v>0.56</v>
      </c>
      <c r="Q4" s="6">
        <v>0</v>
      </c>
      <c r="R4" s="6">
        <v>0</v>
      </c>
      <c r="S4" s="9" t="s">
        <v>7</v>
      </c>
      <c r="T4" s="9" t="s">
        <v>466</v>
      </c>
    </row>
    <row r="5" spans="1:20" x14ac:dyDescent="0.25">
      <c r="A5" s="2" t="s">
        <v>34</v>
      </c>
      <c r="B5" s="2" t="s">
        <v>35</v>
      </c>
      <c r="C5" s="2" t="s">
        <v>170</v>
      </c>
      <c r="D5" s="2" t="s">
        <v>467</v>
      </c>
      <c r="E5" s="2" t="s">
        <v>468</v>
      </c>
      <c r="F5" s="2" t="s">
        <v>39</v>
      </c>
      <c r="G5" s="2" t="s">
        <v>40</v>
      </c>
      <c r="H5" s="2" t="s">
        <v>41</v>
      </c>
      <c r="I5" s="3">
        <v>46267.41666666667</v>
      </c>
      <c r="J5" s="2" t="s">
        <v>459</v>
      </c>
      <c r="K5" s="2" t="s">
        <v>104</v>
      </c>
      <c r="L5" s="4">
        <v>64.53</v>
      </c>
      <c r="M5" s="5">
        <f>IF(AND(ISNUMBER(N5),ISNUMBER(L5),L5&gt;0),ROUND(N5/L5,2),"")</f>
        <v>3888.5</v>
      </c>
      <c r="N5" s="6">
        <v>250925</v>
      </c>
      <c r="O5" s="7">
        <v>358464</v>
      </c>
      <c r="P5" s="8">
        <f>IF(AND(ISNUMBER(N5),ISNUMBER(O5),O5&gt;0),N5/O5,"")</f>
        <v>0.7000005579360828</v>
      </c>
      <c r="Q5" s="6">
        <v>0</v>
      </c>
      <c r="R5" s="6">
        <v>0</v>
      </c>
      <c r="S5" s="9" t="s">
        <v>7</v>
      </c>
      <c r="T5" s="9" t="s">
        <v>469</v>
      </c>
    </row>
    <row r="6" spans="1:20" x14ac:dyDescent="0.25">
      <c r="A6" s="2" t="s">
        <v>34</v>
      </c>
      <c r="B6" s="2" t="s">
        <v>35</v>
      </c>
      <c r="C6" s="2" t="s">
        <v>88</v>
      </c>
      <c r="D6" s="2" t="s">
        <v>470</v>
      </c>
      <c r="E6" s="2" t="s">
        <v>465</v>
      </c>
      <c r="F6" s="2" t="s">
        <v>39</v>
      </c>
      <c r="G6" s="2" t="s">
        <v>40</v>
      </c>
      <c r="H6" s="2" t="s">
        <v>85</v>
      </c>
      <c r="I6" s="3">
        <v>46267.41666666667</v>
      </c>
      <c r="J6" s="2" t="s">
        <v>459</v>
      </c>
      <c r="K6" s="2" t="s">
        <v>104</v>
      </c>
      <c r="L6" s="4">
        <v>51.58</v>
      </c>
      <c r="M6" s="5">
        <f>IF(AND(ISNUMBER(N6),ISNUMBER(L6),L6&gt;0),ROUND(N6/L6,2),"")</f>
        <v>6660.72</v>
      </c>
      <c r="N6" s="6">
        <v>343560</v>
      </c>
      <c r="O6" s="7">
        <v>613500</v>
      </c>
      <c r="P6" s="8">
        <f>IF(AND(ISNUMBER(N6),ISNUMBER(O6),O6&gt;0),N6/O6,"")</f>
        <v>0.56</v>
      </c>
      <c r="Q6" s="6">
        <v>0</v>
      </c>
      <c r="R6" s="6">
        <v>0</v>
      </c>
      <c r="S6" s="9" t="s">
        <v>7</v>
      </c>
      <c r="T6" s="9" t="s">
        <v>471</v>
      </c>
    </row>
    <row r="7" spans="1:20" x14ac:dyDescent="0.25">
      <c r="A7" s="2" t="s">
        <v>34</v>
      </c>
      <c r="B7" s="2" t="s">
        <v>35</v>
      </c>
      <c r="C7" s="2" t="s">
        <v>106</v>
      </c>
      <c r="D7" s="2" t="s">
        <v>472</v>
      </c>
      <c r="E7" s="2" t="s">
        <v>473</v>
      </c>
      <c r="F7" s="2" t="s">
        <v>39</v>
      </c>
      <c r="G7" s="2" t="s">
        <v>40</v>
      </c>
      <c r="H7" s="2" t="s">
        <v>85</v>
      </c>
      <c r="I7" s="3">
        <v>46267.41666666667</v>
      </c>
      <c r="J7" s="2" t="s">
        <v>459</v>
      </c>
      <c r="K7" s="2" t="s">
        <v>104</v>
      </c>
      <c r="L7" s="4">
        <v>55.04</v>
      </c>
      <c r="M7" s="5">
        <f>IF(AND(ISNUMBER(N7),ISNUMBER(L7),L7&gt;0),ROUND(N7/L7,2),"")</f>
        <v>6277.62</v>
      </c>
      <c r="N7" s="6">
        <v>345520</v>
      </c>
      <c r="O7" s="7">
        <v>617000</v>
      </c>
      <c r="P7" s="8">
        <f>IF(AND(ISNUMBER(N7),ISNUMBER(O7),O7&gt;0),N7/O7,"")</f>
        <v>0.56</v>
      </c>
      <c r="Q7" s="6">
        <v>0</v>
      </c>
      <c r="R7" s="6">
        <v>1</v>
      </c>
      <c r="S7" s="9" t="s">
        <v>7</v>
      </c>
      <c r="T7" s="9" t="s">
        <v>474</v>
      </c>
    </row>
    <row r="8" spans="1:20" x14ac:dyDescent="0.25">
      <c r="A8" s="2" t="s">
        <v>34</v>
      </c>
      <c r="B8" s="2" t="s">
        <v>35</v>
      </c>
      <c r="C8" s="2" t="s">
        <v>88</v>
      </c>
      <c r="D8" s="2" t="s">
        <v>475</v>
      </c>
      <c r="E8" s="2" t="s">
        <v>465</v>
      </c>
      <c r="F8" s="2" t="s">
        <v>39</v>
      </c>
      <c r="G8" s="2" t="s">
        <v>40</v>
      </c>
      <c r="H8" s="2" t="s">
        <v>85</v>
      </c>
      <c r="I8" s="3">
        <v>46267.41666666667</v>
      </c>
      <c r="J8" s="2" t="s">
        <v>459</v>
      </c>
      <c r="K8" s="2" t="s">
        <v>104</v>
      </c>
      <c r="L8" s="4">
        <v>75.77</v>
      </c>
      <c r="M8" s="5">
        <f>IF(AND(ISNUMBER(N8),ISNUMBER(L8),L8&gt;0),ROUND(N8/L8,2),"")</f>
        <v>5883.07</v>
      </c>
      <c r="N8" s="6">
        <v>445760</v>
      </c>
      <c r="O8" s="7">
        <v>796000</v>
      </c>
      <c r="P8" s="8">
        <f>IF(AND(ISNUMBER(N8),ISNUMBER(O8),O8&gt;0),N8/O8,"")</f>
        <v>0.56</v>
      </c>
      <c r="Q8" s="6">
        <v>0</v>
      </c>
      <c r="R8" s="6">
        <v>0</v>
      </c>
      <c r="S8" s="9" t="s">
        <v>7</v>
      </c>
      <c r="T8" s="9" t="s">
        <v>476</v>
      </c>
    </row>
    <row r="9" spans="1:20" x14ac:dyDescent="0.25">
      <c r="A9" s="2" t="s">
        <v>34</v>
      </c>
      <c r="B9" s="2" t="s">
        <v>114</v>
      </c>
      <c r="C9" s="2" t="s">
        <v>115</v>
      </c>
      <c r="D9" s="2" t="s">
        <v>477</v>
      </c>
      <c r="E9" s="2" t="s">
        <v>478</v>
      </c>
      <c r="F9" s="2" t="s">
        <v>39</v>
      </c>
      <c r="G9" s="2" t="s">
        <v>40</v>
      </c>
      <c r="H9" s="2" t="s">
        <v>41</v>
      </c>
      <c r="I9" s="3">
        <v>46267.41666666667</v>
      </c>
      <c r="J9" s="2" t="s">
        <v>459</v>
      </c>
      <c r="K9" s="2" t="s">
        <v>479</v>
      </c>
      <c r="L9" s="4">
        <v>211.58</v>
      </c>
      <c r="M9" s="5">
        <f>IF(AND(ISNUMBER(N9),ISNUMBER(L9),L9&gt;0),ROUND(N9/L9,2),"")</f>
        <v>3706.86</v>
      </c>
      <c r="N9" s="6">
        <v>784297</v>
      </c>
      <c r="O9" s="7">
        <v>1120423</v>
      </c>
      <c r="P9" s="8">
        <f>IF(AND(ISNUMBER(N9),ISNUMBER(O9),O9&gt;0),N9/O9,"")</f>
        <v>0.7000008032680515</v>
      </c>
      <c r="Q9" s="6">
        <v>0</v>
      </c>
      <c r="R9" s="6">
        <v>2</v>
      </c>
      <c r="S9" s="9" t="s">
        <v>7</v>
      </c>
      <c r="T9" s="9" t="s">
        <v>480</v>
      </c>
    </row>
    <row r="10" spans="1:20" x14ac:dyDescent="0.25">
      <c r="A10" s="2" t="s">
        <v>34</v>
      </c>
      <c r="B10" s="2" t="s">
        <v>114</v>
      </c>
      <c r="C10" s="2" t="s">
        <v>126</v>
      </c>
      <c r="D10" s="2" t="s">
        <v>481</v>
      </c>
      <c r="E10" s="2" t="s">
        <v>482</v>
      </c>
      <c r="F10" s="2" t="s">
        <v>39</v>
      </c>
      <c r="G10" s="2" t="s">
        <v>40</v>
      </c>
      <c r="H10" s="2" t="s">
        <v>41</v>
      </c>
      <c r="I10" s="3">
        <v>46267.41666666667</v>
      </c>
      <c r="J10" s="2" t="s">
        <v>459</v>
      </c>
      <c r="K10" s="2" t="s">
        <v>118</v>
      </c>
      <c r="L10" s="4">
        <v>172.57</v>
      </c>
      <c r="M10" s="5">
        <f>IF(AND(ISNUMBER(N10),ISNUMBER(L10),L10&gt;0),ROUND(N10/L10,2),"")</f>
        <v>16949.64</v>
      </c>
      <c r="N10" s="6">
        <v>2925000</v>
      </c>
      <c r="O10" s="7">
        <v>3655200</v>
      </c>
      <c r="P10" s="8">
        <f>IF(AND(ISNUMBER(N10),ISNUMBER(O10),O10&gt;0),N10/O10,"")</f>
        <v>0.8002298095863427</v>
      </c>
      <c r="Q10" s="6">
        <v>0</v>
      </c>
      <c r="R10" s="6">
        <v>0</v>
      </c>
      <c r="S10" s="9" t="s">
        <v>7</v>
      </c>
      <c r="T10" s="9" t="s">
        <v>483</v>
      </c>
    </row>
    <row r="11" spans="1:20" x14ac:dyDescent="0.25">
      <c r="A11" s="2" t="s">
        <v>34</v>
      </c>
      <c r="B11" s="2" t="s">
        <v>114</v>
      </c>
      <c r="C11" s="2" t="s">
        <v>129</v>
      </c>
      <c r="D11" s="2" t="s">
        <v>484</v>
      </c>
      <c r="E11" s="2" t="s">
        <v>485</v>
      </c>
      <c r="F11" s="2" t="s">
        <v>39</v>
      </c>
      <c r="G11" s="2" t="s">
        <v>40</v>
      </c>
      <c r="H11" s="2" t="s">
        <v>41</v>
      </c>
      <c r="I11" s="3">
        <v>46267.41666666667</v>
      </c>
      <c r="J11" s="2" t="s">
        <v>459</v>
      </c>
      <c r="K11" s="2" t="s">
        <v>407</v>
      </c>
      <c r="L11" s="4">
        <v>214.7</v>
      </c>
      <c r="M11" s="5">
        <f>IF(AND(ISNUMBER(N11),ISNUMBER(L11),L11&gt;0),ROUND(N11/L11,2),"")</f>
        <v>5060.41</v>
      </c>
      <c r="N11" s="6">
        <v>1086470</v>
      </c>
      <c r="O11" s="7">
        <v>1552100</v>
      </c>
      <c r="P11" s="8">
        <f>IF(AND(ISNUMBER(N11),ISNUMBER(O11),O11&gt;0),N11/O11,"")</f>
        <v>0.7</v>
      </c>
      <c r="Q11" s="6">
        <v>0</v>
      </c>
      <c r="R11" s="6">
        <v>0</v>
      </c>
      <c r="S11" s="9" t="s">
        <v>7</v>
      </c>
      <c r="T11" s="9" t="s">
        <v>486</v>
      </c>
    </row>
    <row r="12" spans="1:20" x14ac:dyDescent="0.25">
      <c r="A12" s="2" t="s">
        <v>34</v>
      </c>
      <c r="B12" s="2" t="s">
        <v>114</v>
      </c>
      <c r="C12" s="2" t="s">
        <v>129</v>
      </c>
      <c r="D12" s="2" t="s">
        <v>487</v>
      </c>
      <c r="E12" s="2" t="s">
        <v>488</v>
      </c>
      <c r="F12" s="2" t="s">
        <v>39</v>
      </c>
      <c r="G12" s="2" t="s">
        <v>40</v>
      </c>
      <c r="H12" s="2" t="s">
        <v>41</v>
      </c>
      <c r="I12" s="3">
        <v>46267.41666666667</v>
      </c>
      <c r="J12" s="2" t="s">
        <v>459</v>
      </c>
      <c r="K12" s="2" t="s">
        <v>118</v>
      </c>
      <c r="L12" s="4">
        <v>151.2</v>
      </c>
      <c r="M12" s="5">
        <f>IF(AND(ISNUMBER(N12),ISNUMBER(L12),L12&gt;0),ROUND(N12/L12,2),"")</f>
        <v>5753.97</v>
      </c>
      <c r="N12" s="6">
        <v>870000</v>
      </c>
      <c r="O12" s="7">
        <v>1077000</v>
      </c>
      <c r="P12" s="8">
        <f>IF(AND(ISNUMBER(N12),ISNUMBER(O12),O12&gt;0),N12/O12,"")</f>
        <v>0.807799442896936</v>
      </c>
      <c r="Q12" s="6">
        <v>0</v>
      </c>
      <c r="R12" s="6">
        <v>0</v>
      </c>
      <c r="S12" s="9" t="s">
        <v>7</v>
      </c>
      <c r="T12" s="9" t="s">
        <v>489</v>
      </c>
    </row>
    <row r="13" spans="1:20" x14ac:dyDescent="0.25">
      <c r="A13" s="2" t="s">
        <v>34</v>
      </c>
      <c r="B13" s="2" t="s">
        <v>114</v>
      </c>
      <c r="C13" s="2" t="s">
        <v>126</v>
      </c>
      <c r="D13" s="2" t="s">
        <v>490</v>
      </c>
      <c r="E13" s="2" t="s">
        <v>491</v>
      </c>
      <c r="F13" s="2" t="s">
        <v>39</v>
      </c>
      <c r="G13" s="2" t="s">
        <v>40</v>
      </c>
      <c r="H13" s="2" t="s">
        <v>41</v>
      </c>
      <c r="I13" s="3">
        <v>46267.41666666667</v>
      </c>
      <c r="J13" s="2" t="s">
        <v>459</v>
      </c>
      <c r="K13" s="2" t="s">
        <v>118</v>
      </c>
      <c r="L13" s="4">
        <v>133.9</v>
      </c>
      <c r="M13" s="5">
        <f>IF(AND(ISNUMBER(N13),ISNUMBER(L13),L13&gt;0),ROUND(N13/L13,2),"")</f>
        <v>10200.15</v>
      </c>
      <c r="N13" s="6">
        <v>1365800</v>
      </c>
      <c r="O13" s="7">
        <v>1707225</v>
      </c>
      <c r="P13" s="8">
        <f>IF(AND(ISNUMBER(N13),ISNUMBER(O13),O13&gt;0),N13/O13,"")</f>
        <v>0.800011714917483</v>
      </c>
      <c r="Q13" s="6">
        <v>0</v>
      </c>
      <c r="R13" s="6">
        <v>0</v>
      </c>
      <c r="S13" s="9" t="s">
        <v>7</v>
      </c>
      <c r="T13" s="9" t="s">
        <v>492</v>
      </c>
    </row>
    <row r="14" spans="1:20" x14ac:dyDescent="0.25">
      <c r="A14" s="2" t="s">
        <v>34</v>
      </c>
      <c r="B14" s="2" t="s">
        <v>35</v>
      </c>
      <c r="C14" s="2" t="s">
        <v>83</v>
      </c>
      <c r="D14" s="2" t="s">
        <v>493</v>
      </c>
      <c r="E14" s="2" t="s">
        <v>494</v>
      </c>
      <c r="F14" s="2" t="s">
        <v>39</v>
      </c>
      <c r="G14" s="2" t="s">
        <v>137</v>
      </c>
      <c r="H14" s="2" t="s">
        <v>150</v>
      </c>
      <c r="I14" s="3">
        <v>46267.41666666667</v>
      </c>
      <c r="J14" s="2" t="s">
        <v>459</v>
      </c>
      <c r="K14" s="2" t="s">
        <v>159</v>
      </c>
      <c r="L14" s="4">
        <v>159.6</v>
      </c>
      <c r="M14" s="5">
        <f>IF(AND(ISNUMBER(N14),ISNUMBER(L14),L14&gt;0),ROUND(N14/L14,2),"")</f>
        <v>4060.15</v>
      </c>
      <c r="N14" s="6">
        <v>648000</v>
      </c>
      <c r="O14" s="7">
        <v>1155900</v>
      </c>
      <c r="P14" s="8">
        <f>IF(AND(ISNUMBER(N14),ISNUMBER(O14),O14&gt;0),N14/O14,"")</f>
        <v>0.560602128211783</v>
      </c>
      <c r="Q14" s="6">
        <v>0</v>
      </c>
      <c r="R14" s="6">
        <v>0</v>
      </c>
      <c r="S14" s="9" t="s">
        <v>7</v>
      </c>
      <c r="T14" s="9" t="s">
        <v>495</v>
      </c>
    </row>
    <row r="15" spans="1:20" x14ac:dyDescent="0.25">
      <c r="A15" s="2" t="s">
        <v>34</v>
      </c>
      <c r="B15" s="2" t="s">
        <v>35</v>
      </c>
      <c r="C15" s="2" t="s">
        <v>186</v>
      </c>
      <c r="D15" s="2" t="s">
        <v>496</v>
      </c>
      <c r="E15" s="2" t="s">
        <v>497</v>
      </c>
      <c r="F15" s="2" t="s">
        <v>181</v>
      </c>
      <c r="G15" s="2" t="s">
        <v>137</v>
      </c>
      <c r="H15" s="2" t="s">
        <v>41</v>
      </c>
      <c r="I15" s="3">
        <v>46267.41666666667</v>
      </c>
      <c r="J15" s="2" t="s">
        <v>459</v>
      </c>
      <c r="K15" s="2" t="s">
        <v>86</v>
      </c>
      <c r="L15" s="4">
        <v>972.43</v>
      </c>
      <c r="M15" s="5">
        <f>IF(AND(ISNUMBER(N15),ISNUMBER(L15),L15&gt;0),ROUND(N15/L15,2),"")</f>
        <v>13882.75</v>
      </c>
      <c r="N15" s="6">
        <v>13500000</v>
      </c>
      <c r="O15" s="7">
        <v>19265000</v>
      </c>
      <c r="P15" s="8">
        <f>IF(AND(ISNUMBER(N15),ISNUMBER(O15),O15&gt;0),N15/O15,"")</f>
        <v>0.7007526602647288</v>
      </c>
      <c r="Q15" s="6">
        <v>0</v>
      </c>
      <c r="R15" s="6">
        <v>0</v>
      </c>
      <c r="S15" s="9" t="s">
        <v>7</v>
      </c>
      <c r="T15" s="9" t="s">
        <v>498</v>
      </c>
    </row>
    <row r="16" spans="1:20" x14ac:dyDescent="0.25">
      <c r="A16" s="2" t="s">
        <v>34</v>
      </c>
      <c r="B16" s="2" t="s">
        <v>35</v>
      </c>
      <c r="C16" s="2" t="s">
        <v>186</v>
      </c>
      <c r="D16" s="2" t="s">
        <v>499</v>
      </c>
      <c r="E16" s="2" t="s">
        <v>497</v>
      </c>
      <c r="F16" s="2" t="s">
        <v>181</v>
      </c>
      <c r="G16" s="2" t="s">
        <v>137</v>
      </c>
      <c r="H16" s="2" t="s">
        <v>41</v>
      </c>
      <c r="I16" s="3">
        <v>46267.41666666667</v>
      </c>
      <c r="J16" s="2" t="s">
        <v>459</v>
      </c>
      <c r="K16" s="2" t="s">
        <v>86</v>
      </c>
      <c r="L16" s="4">
        <v>1896.25</v>
      </c>
      <c r="M16" s="5">
        <f>IF(AND(ISNUMBER(N16),ISNUMBER(L16),L16&gt;0),ROUND(N16/L16,2),"")</f>
        <v>13974.95</v>
      </c>
      <c r="N16" s="6">
        <v>26500000</v>
      </c>
      <c r="O16" s="7">
        <v>37851500</v>
      </c>
      <c r="P16" s="8">
        <f>IF(AND(ISNUMBER(N16),ISNUMBER(O16),O16&gt;0),N16/O16,"")</f>
        <v>0.7001043551774698</v>
      </c>
      <c r="Q16" s="6">
        <v>0</v>
      </c>
      <c r="R16" s="6">
        <v>0</v>
      </c>
      <c r="S16" s="9" t="s">
        <v>7</v>
      </c>
      <c r="T16" s="9" t="s">
        <v>500</v>
      </c>
    </row>
    <row r="17" spans="1:20" x14ac:dyDescent="0.25">
      <c r="A17" s="2" t="s">
        <v>34</v>
      </c>
      <c r="B17" s="2" t="s">
        <v>35</v>
      </c>
      <c r="C17" s="2" t="s">
        <v>190</v>
      </c>
      <c r="D17" s="2" t="s">
        <v>501</v>
      </c>
      <c r="E17" s="2" t="s">
        <v>502</v>
      </c>
      <c r="F17" s="2" t="s">
        <v>39</v>
      </c>
      <c r="G17" s="2" t="s">
        <v>137</v>
      </c>
      <c r="H17" s="2" t="s">
        <v>41</v>
      </c>
      <c r="I17" s="3">
        <v>46267.41666666667</v>
      </c>
      <c r="J17" s="2" t="s">
        <v>459</v>
      </c>
      <c r="K17" s="2" t="s">
        <v>193</v>
      </c>
      <c r="L17" s="4">
        <v>110.88</v>
      </c>
      <c r="M17" s="5">
        <f>IF(AND(ISNUMBER(N17),ISNUMBER(L17),L17&gt;0),ROUND(N17/L17,2),"")</f>
        <v>2170.52</v>
      </c>
      <c r="N17" s="6">
        <v>240667.2</v>
      </c>
      <c r="O17" s="7">
        <v>343810.29</v>
      </c>
      <c r="P17" s="8">
        <f>IF(AND(ISNUMBER(N17),ISNUMBER(O17),O17&gt;0),N17/O17,"")</f>
        <v>0.6999999912742577</v>
      </c>
      <c r="Q17" s="6">
        <v>0</v>
      </c>
      <c r="R17" s="6">
        <v>0</v>
      </c>
      <c r="S17" s="2" t="s">
        <v>236</v>
      </c>
      <c r="T17" s="9" t="s">
        <v>503</v>
      </c>
    </row>
    <row r="18" spans="1:20" x14ac:dyDescent="0.25">
      <c r="A18" s="2" t="s">
        <v>34</v>
      </c>
      <c r="B18" s="2" t="s">
        <v>35</v>
      </c>
      <c r="C18" s="2" t="s">
        <v>133</v>
      </c>
      <c r="D18" s="2" t="s">
        <v>504</v>
      </c>
      <c r="E18" s="2" t="s">
        <v>505</v>
      </c>
      <c r="F18" s="2" t="s">
        <v>39</v>
      </c>
      <c r="G18" s="2" t="s">
        <v>137</v>
      </c>
      <c r="H18" s="2" t="s">
        <v>41</v>
      </c>
      <c r="I18" s="3">
        <v>46267.41666666667</v>
      </c>
      <c r="J18" s="2" t="s">
        <v>459</v>
      </c>
      <c r="K18" s="2" t="s">
        <v>138</v>
      </c>
      <c r="L18" s="4">
        <v>111.18</v>
      </c>
      <c r="M18" s="5">
        <f>IF(AND(ISNUMBER(N18),ISNUMBER(L18),L18&gt;0),ROUND(N18/L18,2),"")</f>
        <v>0.28</v>
      </c>
      <c r="N18" s="6">
        <v>31.58</v>
      </c>
      <c r="O18" s="7">
        <v>451100</v>
      </c>
      <c r="P18" s="8">
        <f>IF(AND(ISNUMBER(N18),ISNUMBER(O18),O18&gt;0),N18/O18,"")</f>
        <v>0.00007000665041010862</v>
      </c>
      <c r="Q18" s="6">
        <v>0</v>
      </c>
      <c r="R18" s="6">
        <v>0</v>
      </c>
      <c r="S18" s="2" t="s">
        <v>506</v>
      </c>
      <c r="T18" s="9" t="s">
        <v>507</v>
      </c>
    </row>
    <row r="19" spans="1:20" x14ac:dyDescent="0.25">
      <c r="A19" s="2" t="s">
        <v>34</v>
      </c>
      <c r="B19" s="2" t="s">
        <v>35</v>
      </c>
      <c r="C19" s="2" t="s">
        <v>88</v>
      </c>
      <c r="D19" s="2" t="s">
        <v>508</v>
      </c>
      <c r="E19" s="2" t="s">
        <v>509</v>
      </c>
      <c r="F19" s="2" t="s">
        <v>39</v>
      </c>
      <c r="G19" s="2" t="s">
        <v>137</v>
      </c>
      <c r="H19" s="2" t="s">
        <v>41</v>
      </c>
      <c r="I19" s="3">
        <v>46267.41666666667</v>
      </c>
      <c r="J19" s="2" t="s">
        <v>459</v>
      </c>
      <c r="K19" s="2" t="s">
        <v>138</v>
      </c>
      <c r="L19" s="4">
        <v>139.35</v>
      </c>
      <c r="M19" s="5">
        <f>IF(AND(ISNUMBER(N19),ISNUMBER(L19),L19&gt;0),ROUND(N19/L19,2),"")</f>
        <v>11316.04</v>
      </c>
      <c r="N19" s="6">
        <v>1576890</v>
      </c>
      <c r="O19" s="7">
        <v>2252700</v>
      </c>
      <c r="P19" s="8">
        <f>IF(AND(ISNUMBER(N19),ISNUMBER(O19),O19&gt;0),N19/O19,"")</f>
        <v>0.7</v>
      </c>
      <c r="Q19" s="6">
        <v>0</v>
      </c>
      <c r="R19" s="6">
        <v>0</v>
      </c>
      <c r="S19" s="9" t="s">
        <v>7</v>
      </c>
      <c r="T19" s="9" t="s">
        <v>510</v>
      </c>
    </row>
    <row r="20" spans="1:20" x14ac:dyDescent="0.25">
      <c r="A20" s="2" t="s">
        <v>34</v>
      </c>
      <c r="B20" s="2" t="s">
        <v>35</v>
      </c>
      <c r="C20" s="2" t="s">
        <v>101</v>
      </c>
      <c r="D20" s="2" t="s">
        <v>511</v>
      </c>
      <c r="E20" s="2" t="s">
        <v>512</v>
      </c>
      <c r="F20" s="2" t="s">
        <v>39</v>
      </c>
      <c r="G20" s="2" t="s">
        <v>137</v>
      </c>
      <c r="H20" s="2" t="s">
        <v>41</v>
      </c>
      <c r="I20" s="3">
        <v>46267.41666666667</v>
      </c>
      <c r="J20" s="2" t="s">
        <v>459</v>
      </c>
      <c r="K20" s="2" t="s">
        <v>142</v>
      </c>
      <c r="L20" s="4">
        <v>92.24</v>
      </c>
      <c r="M20" s="5">
        <f>IF(AND(ISNUMBER(N20),ISNUMBER(L20),L20&gt;0),ROUND(N20/L20,2),"")</f>
        <v>5529.05</v>
      </c>
      <c r="N20" s="6">
        <v>510000</v>
      </c>
      <c r="O20" s="7">
        <v>726700</v>
      </c>
      <c r="P20" s="8">
        <f>IF(AND(ISNUMBER(N20),ISNUMBER(O20),O20&gt;0),N20/O20,"")</f>
        <v>0.7018026696023119</v>
      </c>
      <c r="Q20" s="6">
        <v>0</v>
      </c>
      <c r="R20" s="6">
        <v>3</v>
      </c>
      <c r="S20" s="2" t="s">
        <v>236</v>
      </c>
      <c r="T20" s="9" t="s">
        <v>513</v>
      </c>
    </row>
    <row r="21" spans="1:20" x14ac:dyDescent="0.25">
      <c r="A21" s="2" t="s">
        <v>34</v>
      </c>
      <c r="B21" s="2" t="s">
        <v>35</v>
      </c>
      <c r="C21" s="2" t="s">
        <v>190</v>
      </c>
      <c r="D21" s="2" t="s">
        <v>514</v>
      </c>
      <c r="E21" s="2" t="s">
        <v>502</v>
      </c>
      <c r="F21" s="2" t="s">
        <v>39</v>
      </c>
      <c r="G21" s="2" t="s">
        <v>137</v>
      </c>
      <c r="H21" s="2" t="s">
        <v>41</v>
      </c>
      <c r="I21" s="3">
        <v>46267.41666666667</v>
      </c>
      <c r="J21" s="2" t="s">
        <v>459</v>
      </c>
      <c r="K21" s="2" t="s">
        <v>193</v>
      </c>
      <c r="L21" s="4">
        <v>110.88</v>
      </c>
      <c r="M21" s="5">
        <f>IF(AND(ISNUMBER(N21),ISNUMBER(L21),L21&gt;0),ROUND(N21/L21,2),"")</f>
        <v>2179.89</v>
      </c>
      <c r="N21" s="6">
        <v>241705.81</v>
      </c>
      <c r="O21" s="7">
        <v>345294.02</v>
      </c>
      <c r="P21" s="8">
        <f>IF(AND(ISNUMBER(N21),ISNUMBER(O21),O21&gt;0),N21/O21,"")</f>
        <v>0.6999999884156696</v>
      </c>
      <c r="Q21" s="6">
        <v>0</v>
      </c>
      <c r="R21" s="6">
        <v>0</v>
      </c>
      <c r="S21" s="2" t="s">
        <v>236</v>
      </c>
      <c r="T21" s="9" t="s">
        <v>515</v>
      </c>
    </row>
    <row r="22" spans="1:20" x14ac:dyDescent="0.25">
      <c r="A22" s="2" t="s">
        <v>34</v>
      </c>
      <c r="B22" s="2" t="s">
        <v>35</v>
      </c>
      <c r="C22" s="2" t="s">
        <v>190</v>
      </c>
      <c r="D22" s="2" t="s">
        <v>516</v>
      </c>
      <c r="E22" s="2" t="s">
        <v>502</v>
      </c>
      <c r="F22" s="2" t="s">
        <v>39</v>
      </c>
      <c r="G22" s="2" t="s">
        <v>137</v>
      </c>
      <c r="H22" s="2" t="s">
        <v>41</v>
      </c>
      <c r="I22" s="3">
        <v>46267.41666666667</v>
      </c>
      <c r="J22" s="2" t="s">
        <v>459</v>
      </c>
      <c r="K22" s="2" t="s">
        <v>193</v>
      </c>
      <c r="L22" s="4">
        <v>115.82</v>
      </c>
      <c r="M22" s="5">
        <f>IF(AND(ISNUMBER(N22),ISNUMBER(L22),L22&gt;0),ROUND(N22/L22,2),"")</f>
        <v>2186.2</v>
      </c>
      <c r="N22" s="6">
        <v>253206.25</v>
      </c>
      <c r="O22" s="7">
        <v>361723.21</v>
      </c>
      <c r="P22" s="8">
        <f>IF(AND(ISNUMBER(N22),ISNUMBER(O22),O22&gt;0),N22/O22,"")</f>
        <v>0.7000000082936342</v>
      </c>
      <c r="Q22" s="6">
        <v>0</v>
      </c>
      <c r="R22" s="6">
        <v>0</v>
      </c>
      <c r="S22" s="2" t="s">
        <v>236</v>
      </c>
      <c r="T22" s="9" t="s">
        <v>517</v>
      </c>
    </row>
    <row r="23" spans="1:20" x14ac:dyDescent="0.25">
      <c r="A23" s="2" t="s">
        <v>34</v>
      </c>
      <c r="B23" s="2" t="s">
        <v>35</v>
      </c>
      <c r="C23" s="2" t="s">
        <v>190</v>
      </c>
      <c r="D23" s="2" t="s">
        <v>518</v>
      </c>
      <c r="E23" s="2" t="s">
        <v>502</v>
      </c>
      <c r="F23" s="2" t="s">
        <v>39</v>
      </c>
      <c r="G23" s="2" t="s">
        <v>137</v>
      </c>
      <c r="H23" s="2" t="s">
        <v>41</v>
      </c>
      <c r="I23" s="3">
        <v>46267.41666666667</v>
      </c>
      <c r="J23" s="2" t="s">
        <v>459</v>
      </c>
      <c r="K23" s="2" t="s">
        <v>193</v>
      </c>
      <c r="L23" s="4">
        <v>110.88</v>
      </c>
      <c r="M23" s="5">
        <f>IF(AND(ISNUMBER(N23),ISNUMBER(L23),L23&gt;0),ROUND(N23/L23,2),"")</f>
        <v>2174.07</v>
      </c>
      <c r="N23" s="6">
        <v>241061.16</v>
      </c>
      <c r="O23" s="7">
        <v>344373.08</v>
      </c>
      <c r="P23" s="8">
        <f>IF(AND(ISNUMBER(N23),ISNUMBER(O23),O23&gt;0),N23/O23,"")</f>
        <v>0.7000000116153098</v>
      </c>
      <c r="Q23" s="6">
        <v>0</v>
      </c>
      <c r="R23" s="6">
        <v>0</v>
      </c>
      <c r="S23" s="2" t="s">
        <v>174</v>
      </c>
      <c r="T23" s="9" t="s">
        <v>519</v>
      </c>
    </row>
    <row r="24" spans="1:20" x14ac:dyDescent="0.25">
      <c r="A24" s="2" t="s">
        <v>34</v>
      </c>
      <c r="B24" s="2" t="s">
        <v>35</v>
      </c>
      <c r="C24" s="2" t="s">
        <v>190</v>
      </c>
      <c r="D24" s="2" t="s">
        <v>520</v>
      </c>
      <c r="E24" s="2" t="s">
        <v>502</v>
      </c>
      <c r="F24" s="2" t="s">
        <v>39</v>
      </c>
      <c r="G24" s="2" t="s">
        <v>137</v>
      </c>
      <c r="H24" s="2" t="s">
        <v>41</v>
      </c>
      <c r="I24" s="3">
        <v>46267.41666666667</v>
      </c>
      <c r="J24" s="2" t="s">
        <v>459</v>
      </c>
      <c r="K24" s="2" t="s">
        <v>193</v>
      </c>
      <c r="L24" s="4">
        <v>115.82</v>
      </c>
      <c r="M24" s="5">
        <f>IF(AND(ISNUMBER(N24),ISNUMBER(L24),L24&gt;0),ROUND(N24/L24,2),"")</f>
        <v>2174.58</v>
      </c>
      <c r="N24" s="6">
        <v>251859.49</v>
      </c>
      <c r="O24" s="7">
        <v>359799.27</v>
      </c>
      <c r="P24" s="8">
        <f>IF(AND(ISNUMBER(N24),ISNUMBER(O24),O24&gt;0),N24/O24,"")</f>
        <v>0.7000000027793274</v>
      </c>
      <c r="Q24" s="6">
        <v>0</v>
      </c>
      <c r="R24" s="6">
        <v>0</v>
      </c>
      <c r="S24" s="2" t="s">
        <v>174</v>
      </c>
      <c r="T24" s="9" t="s">
        <v>521</v>
      </c>
    </row>
    <row r="25" spans="1:20" x14ac:dyDescent="0.25">
      <c r="A25" s="2" t="s">
        <v>34</v>
      </c>
      <c r="B25" s="2" t="s">
        <v>35</v>
      </c>
      <c r="C25" s="2" t="s">
        <v>196</v>
      </c>
      <c r="D25" s="2" t="s">
        <v>522</v>
      </c>
      <c r="E25" s="2" t="s">
        <v>523</v>
      </c>
      <c r="F25" s="2" t="s">
        <v>39</v>
      </c>
      <c r="G25" s="2" t="s">
        <v>137</v>
      </c>
      <c r="H25" s="2" t="s">
        <v>41</v>
      </c>
      <c r="I25" s="3">
        <v>46267.41666666667</v>
      </c>
      <c r="J25" s="2" t="s">
        <v>459</v>
      </c>
      <c r="K25" s="2" t="s">
        <v>104</v>
      </c>
      <c r="L25" s="4">
        <v>95.59</v>
      </c>
      <c r="M25" s="5">
        <f>IF(AND(ISNUMBER(N25),ISNUMBER(L25),L25&gt;0),ROUND(N25/L25,2),"")</f>
        <v>5250.03</v>
      </c>
      <c r="N25" s="6">
        <v>501850</v>
      </c>
      <c r="O25" s="7">
        <v>716925</v>
      </c>
      <c r="P25" s="8">
        <f>IF(AND(ISNUMBER(N25),ISNUMBER(O25),O25&gt;0),N25/O25,"")</f>
        <v>0.7000034871151096</v>
      </c>
      <c r="Q25" s="6">
        <v>0</v>
      </c>
      <c r="R25" s="6">
        <v>0</v>
      </c>
      <c r="S25" s="9" t="s">
        <v>7</v>
      </c>
      <c r="T25" s="9" t="s">
        <v>524</v>
      </c>
    </row>
    <row r="26" spans="1:20" x14ac:dyDescent="0.25">
      <c r="A26" s="2" t="s">
        <v>34</v>
      </c>
      <c r="B26" s="2" t="s">
        <v>35</v>
      </c>
      <c r="C26" s="2" t="s">
        <v>196</v>
      </c>
      <c r="D26" s="2" t="s">
        <v>525</v>
      </c>
      <c r="E26" s="2" t="s">
        <v>526</v>
      </c>
      <c r="F26" s="2" t="s">
        <v>39</v>
      </c>
      <c r="G26" s="2" t="s">
        <v>137</v>
      </c>
      <c r="H26" s="2" t="s">
        <v>41</v>
      </c>
      <c r="I26" s="3">
        <v>46267.41666666667</v>
      </c>
      <c r="J26" s="2" t="s">
        <v>459</v>
      </c>
      <c r="K26" s="2" t="s">
        <v>86</v>
      </c>
      <c r="L26" s="4">
        <v>135.24</v>
      </c>
      <c r="M26" s="5">
        <f>IF(AND(ISNUMBER(N26),ISNUMBER(L26),L26&gt;0),ROUND(N26/L26,2),"")</f>
        <v>3549.25</v>
      </c>
      <c r="N26" s="6">
        <v>480000</v>
      </c>
      <c r="O26" s="7">
        <v>680011.23</v>
      </c>
      <c r="P26" s="8">
        <f>IF(AND(ISNUMBER(N26),ISNUMBER(O26),O26&gt;0),N26/O26,"")</f>
        <v>0.7058706956942461</v>
      </c>
      <c r="Q26" s="6">
        <v>0</v>
      </c>
      <c r="R26" s="6">
        <v>0</v>
      </c>
      <c r="S26" s="2" t="s">
        <v>194</v>
      </c>
      <c r="T26" s="9" t="s">
        <v>527</v>
      </c>
    </row>
    <row r="27" spans="1:20" x14ac:dyDescent="0.25">
      <c r="A27" s="2" t="s">
        <v>34</v>
      </c>
      <c r="B27" s="2" t="s">
        <v>35</v>
      </c>
      <c r="C27" s="2" t="s">
        <v>106</v>
      </c>
      <c r="D27" s="2" t="s">
        <v>528</v>
      </c>
      <c r="E27" s="2" t="s">
        <v>529</v>
      </c>
      <c r="F27" s="2" t="s">
        <v>39</v>
      </c>
      <c r="G27" s="2" t="s">
        <v>137</v>
      </c>
      <c r="H27" s="2" t="s">
        <v>41</v>
      </c>
      <c r="I27" s="3">
        <v>46267.41666666667</v>
      </c>
      <c r="J27" s="2" t="s">
        <v>459</v>
      </c>
      <c r="K27" s="2" t="s">
        <v>104</v>
      </c>
      <c r="L27" s="4">
        <v>43.2</v>
      </c>
      <c r="M27" s="5">
        <f>IF(AND(ISNUMBER(N27),ISNUMBER(L27),L27&gt;0),ROUND(N27/L27,2),"")</f>
        <v>8750</v>
      </c>
      <c r="N27" s="6">
        <v>378000</v>
      </c>
      <c r="O27" s="7">
        <v>540000</v>
      </c>
      <c r="P27" s="8">
        <f>IF(AND(ISNUMBER(N27),ISNUMBER(O27),O27&gt;0),N27/O27,"")</f>
        <v>0.7</v>
      </c>
      <c r="Q27" s="6">
        <v>0</v>
      </c>
      <c r="R27" s="6">
        <v>0</v>
      </c>
      <c r="S27" s="9" t="s">
        <v>7</v>
      </c>
      <c r="T27" s="9" t="s">
        <v>530</v>
      </c>
    </row>
    <row r="28" spans="1:20" x14ac:dyDescent="0.25">
      <c r="A28" s="2" t="s">
        <v>34</v>
      </c>
      <c r="B28" s="2" t="s">
        <v>35</v>
      </c>
      <c r="C28" s="2" t="s">
        <v>190</v>
      </c>
      <c r="D28" s="2" t="s">
        <v>531</v>
      </c>
      <c r="E28" s="2" t="s">
        <v>502</v>
      </c>
      <c r="F28" s="2" t="s">
        <v>39</v>
      </c>
      <c r="G28" s="2" t="s">
        <v>137</v>
      </c>
      <c r="H28" s="2" t="s">
        <v>41</v>
      </c>
      <c r="I28" s="3">
        <v>46267.41666666667</v>
      </c>
      <c r="J28" s="2" t="s">
        <v>459</v>
      </c>
      <c r="K28" s="2" t="s">
        <v>193</v>
      </c>
      <c r="L28" s="4">
        <v>110.88</v>
      </c>
      <c r="M28" s="5">
        <f>IF(AND(ISNUMBER(N28),ISNUMBER(L28),L28&gt;0),ROUND(N28/L28,2),"")</f>
        <v>2178.43</v>
      </c>
      <c r="N28" s="6">
        <v>241544.65</v>
      </c>
      <c r="O28" s="7">
        <v>345063.79</v>
      </c>
      <c r="P28" s="8">
        <f>IF(AND(ISNUMBER(N28),ISNUMBER(O28),O28&gt;0),N28/O28,"")</f>
        <v>0.6999999913059554</v>
      </c>
      <c r="Q28" s="6">
        <v>0</v>
      </c>
      <c r="R28" s="6">
        <v>0</v>
      </c>
      <c r="S28" s="2" t="s">
        <v>174</v>
      </c>
      <c r="T28" s="9" t="s">
        <v>532</v>
      </c>
    </row>
    <row r="29" spans="1:20" x14ac:dyDescent="0.25">
      <c r="A29" s="2" t="s">
        <v>34</v>
      </c>
      <c r="B29" s="2" t="s">
        <v>35</v>
      </c>
      <c r="C29" s="2" t="s">
        <v>190</v>
      </c>
      <c r="D29" s="2" t="s">
        <v>533</v>
      </c>
      <c r="E29" s="2" t="s">
        <v>502</v>
      </c>
      <c r="F29" s="2" t="s">
        <v>39</v>
      </c>
      <c r="G29" s="2" t="s">
        <v>137</v>
      </c>
      <c r="H29" s="2" t="s">
        <v>41</v>
      </c>
      <c r="I29" s="3">
        <v>46267.41666666667</v>
      </c>
      <c r="J29" s="2" t="s">
        <v>459</v>
      </c>
      <c r="K29" s="2" t="s">
        <v>193</v>
      </c>
      <c r="L29" s="4">
        <v>110.88</v>
      </c>
      <c r="M29" s="5">
        <f>IF(AND(ISNUMBER(N29),ISNUMBER(L29),L29&gt;0),ROUND(N29/L29,2),"")</f>
        <v>2184.25</v>
      </c>
      <c r="N29" s="6">
        <v>242189.3</v>
      </c>
      <c r="O29" s="7">
        <v>345984.72</v>
      </c>
      <c r="P29" s="8">
        <f>IF(AND(ISNUMBER(N29),ISNUMBER(O29),O29&gt;0),N29/O29,"")</f>
        <v>0.6999999884387959</v>
      </c>
      <c r="Q29" s="6">
        <v>0</v>
      </c>
      <c r="R29" s="6">
        <v>0</v>
      </c>
      <c r="S29" s="2" t="s">
        <v>174</v>
      </c>
      <c r="T29" s="9" t="s">
        <v>534</v>
      </c>
    </row>
    <row r="30" spans="1:20" x14ac:dyDescent="0.25">
      <c r="A30" s="2" t="s">
        <v>34</v>
      </c>
      <c r="B30" s="2" t="s">
        <v>35</v>
      </c>
      <c r="C30" s="2" t="s">
        <v>190</v>
      </c>
      <c r="D30" s="2" t="s">
        <v>535</v>
      </c>
      <c r="E30" s="2" t="s">
        <v>502</v>
      </c>
      <c r="F30" s="2" t="s">
        <v>39</v>
      </c>
      <c r="G30" s="2" t="s">
        <v>137</v>
      </c>
      <c r="H30" s="2" t="s">
        <v>41</v>
      </c>
      <c r="I30" s="3">
        <v>46267.41666666667</v>
      </c>
      <c r="J30" s="2" t="s">
        <v>459</v>
      </c>
      <c r="K30" s="2" t="s">
        <v>193</v>
      </c>
      <c r="L30" s="4">
        <v>110.88</v>
      </c>
      <c r="M30" s="5">
        <f>IF(AND(ISNUMBER(N30),ISNUMBER(L30),L30&gt;0),ROUND(N30/L30,2),"")</f>
        <v>2179.89</v>
      </c>
      <c r="N30" s="6">
        <v>241705.81</v>
      </c>
      <c r="O30" s="7">
        <v>345294.02</v>
      </c>
      <c r="P30" s="8">
        <f>IF(AND(ISNUMBER(N30),ISNUMBER(O30),O30&gt;0),N30/O30,"")</f>
        <v>0.6999999884156696</v>
      </c>
      <c r="Q30" s="6">
        <v>0</v>
      </c>
      <c r="R30" s="6">
        <v>0</v>
      </c>
      <c r="S30" s="2" t="s">
        <v>174</v>
      </c>
      <c r="T30" s="9" t="s">
        <v>536</v>
      </c>
    </row>
    <row r="31" spans="1:20" x14ac:dyDescent="0.25">
      <c r="A31" s="2" t="s">
        <v>34</v>
      </c>
      <c r="B31" s="2" t="s">
        <v>35</v>
      </c>
      <c r="C31" s="2" t="s">
        <v>190</v>
      </c>
      <c r="D31" s="2" t="s">
        <v>537</v>
      </c>
      <c r="E31" s="2" t="s">
        <v>538</v>
      </c>
      <c r="F31" s="2" t="s">
        <v>39</v>
      </c>
      <c r="G31" s="2" t="s">
        <v>137</v>
      </c>
      <c r="H31" s="2" t="s">
        <v>41</v>
      </c>
      <c r="I31" s="3">
        <v>46267.41666666667</v>
      </c>
      <c r="J31" s="2" t="s">
        <v>459</v>
      </c>
      <c r="K31" s="2" t="s">
        <v>193</v>
      </c>
      <c r="L31" s="4">
        <v>121.06</v>
      </c>
      <c r="M31" s="5">
        <f>IF(AND(ISNUMBER(N31),ISNUMBER(L31),L31&gt;0),ROUND(N31/L31,2),"")</f>
        <v>3074.21</v>
      </c>
      <c r="N31" s="6">
        <v>372164.28</v>
      </c>
      <c r="O31" s="7">
        <v>531663.26</v>
      </c>
      <c r="P31" s="8">
        <f>IF(AND(ISNUMBER(N31),ISNUMBER(O31),O31&gt;0),N31/O31,"")</f>
        <v>0.6999999962382204</v>
      </c>
      <c r="Q31" s="6">
        <v>0</v>
      </c>
      <c r="R31" s="6">
        <v>0</v>
      </c>
      <c r="S31" s="2" t="s">
        <v>236</v>
      </c>
      <c r="T31" s="9" t="s">
        <v>539</v>
      </c>
    </row>
    <row r="32" spans="1:20" x14ac:dyDescent="0.25">
      <c r="A32" s="2" t="s">
        <v>34</v>
      </c>
      <c r="B32" s="2" t="s">
        <v>35</v>
      </c>
      <c r="C32" s="2" t="s">
        <v>88</v>
      </c>
      <c r="D32" s="2" t="s">
        <v>540</v>
      </c>
      <c r="E32" s="2" t="s">
        <v>541</v>
      </c>
      <c r="F32" s="2" t="s">
        <v>39</v>
      </c>
      <c r="G32" s="2" t="s">
        <v>137</v>
      </c>
      <c r="H32" s="2" t="s">
        <v>41</v>
      </c>
      <c r="I32" s="3">
        <v>46267.41666666667</v>
      </c>
      <c r="J32" s="2" t="s">
        <v>459</v>
      </c>
      <c r="K32" s="2" t="s">
        <v>86</v>
      </c>
      <c r="L32" s="4">
        <v>147.59</v>
      </c>
      <c r="M32" s="5">
        <f>IF(AND(ISNUMBER(N32),ISNUMBER(L32),L32&gt;0),ROUND(N32/L32,2),"")</f>
        <v>16803.31</v>
      </c>
      <c r="N32" s="6">
        <v>2480000</v>
      </c>
      <c r="O32" s="7">
        <v>3542160</v>
      </c>
      <c r="P32" s="8">
        <f>IF(AND(ISNUMBER(N32),ISNUMBER(O32),O32&gt;0),N32/O32,"")</f>
        <v>0.7001377690448766</v>
      </c>
      <c r="Q32" s="6">
        <v>0</v>
      </c>
      <c r="R32" s="6">
        <v>0</v>
      </c>
      <c r="S32" s="9" t="s">
        <v>7</v>
      </c>
      <c r="T32" s="9" t="s">
        <v>542</v>
      </c>
    </row>
    <row r="33" spans="1:20" x14ac:dyDescent="0.25">
      <c r="A33" s="2" t="s">
        <v>34</v>
      </c>
      <c r="B33" s="2" t="s">
        <v>35</v>
      </c>
      <c r="C33" s="2" t="s">
        <v>133</v>
      </c>
      <c r="D33" s="2" t="s">
        <v>543</v>
      </c>
      <c r="E33" s="2" t="s">
        <v>544</v>
      </c>
      <c r="F33" s="2" t="s">
        <v>39</v>
      </c>
      <c r="G33" s="2" t="s">
        <v>137</v>
      </c>
      <c r="H33" s="2" t="s">
        <v>41</v>
      </c>
      <c r="I33" s="3">
        <v>46267.41666666667</v>
      </c>
      <c r="J33" s="2" t="s">
        <v>459</v>
      </c>
      <c r="K33" s="2" t="s">
        <v>138</v>
      </c>
      <c r="L33" s="4">
        <v>379.89</v>
      </c>
      <c r="M33" s="5">
        <f>IF(AND(ISNUMBER(N33),ISNUMBER(L33),L33&gt;0),ROUND(N33/L33,2),"")</f>
        <v>1675.8</v>
      </c>
      <c r="N33" s="6">
        <v>636620</v>
      </c>
      <c r="O33" s="7">
        <v>909457</v>
      </c>
      <c r="P33" s="8">
        <f>IF(AND(ISNUMBER(N33),ISNUMBER(O33),O33&gt;0),N33/O33,"")</f>
        <v>0.7000001099557208</v>
      </c>
      <c r="Q33" s="6">
        <v>0</v>
      </c>
      <c r="R33" s="6">
        <v>0</v>
      </c>
      <c r="S33" s="9" t="s">
        <v>7</v>
      </c>
      <c r="T33" s="9" t="s">
        <v>545</v>
      </c>
    </row>
    <row r="34" spans="1:20" x14ac:dyDescent="0.25">
      <c r="A34" s="2" t="s">
        <v>34</v>
      </c>
      <c r="B34" s="2" t="s">
        <v>35</v>
      </c>
      <c r="C34" s="2" t="s">
        <v>133</v>
      </c>
      <c r="D34" s="2" t="s">
        <v>546</v>
      </c>
      <c r="E34" s="2" t="s">
        <v>547</v>
      </c>
      <c r="F34" s="2" t="s">
        <v>39</v>
      </c>
      <c r="G34" s="2" t="s">
        <v>137</v>
      </c>
      <c r="H34" s="2" t="s">
        <v>41</v>
      </c>
      <c r="I34" s="3">
        <v>46267.41666666667</v>
      </c>
      <c r="J34" s="2" t="s">
        <v>459</v>
      </c>
      <c r="K34" s="2" t="s">
        <v>138</v>
      </c>
      <c r="L34" s="4">
        <v>87.24</v>
      </c>
      <c r="M34" s="5">
        <f>IF(AND(ISNUMBER(N34),ISNUMBER(L34),L34&gt;0),ROUND(N34/L34,2),"")</f>
        <v>5340.44</v>
      </c>
      <c r="N34" s="6">
        <v>465900</v>
      </c>
      <c r="O34" s="7">
        <v>665516</v>
      </c>
      <c r="P34" s="8">
        <f>IF(AND(ISNUMBER(N34),ISNUMBER(O34),O34&gt;0),N34/O34,"")</f>
        <v>0.700058300626882</v>
      </c>
      <c r="Q34" s="6">
        <v>0</v>
      </c>
      <c r="R34" s="6">
        <v>0</v>
      </c>
      <c r="S34" s="2" t="s">
        <v>236</v>
      </c>
      <c r="T34" s="9" t="s">
        <v>548</v>
      </c>
    </row>
    <row r="35" spans="1:20" x14ac:dyDescent="0.25">
      <c r="A35" s="2" t="s">
        <v>34</v>
      </c>
      <c r="B35" s="2" t="s">
        <v>35</v>
      </c>
      <c r="C35" s="2" t="s">
        <v>190</v>
      </c>
      <c r="D35" s="2" t="s">
        <v>549</v>
      </c>
      <c r="E35" s="2" t="s">
        <v>502</v>
      </c>
      <c r="F35" s="2" t="s">
        <v>39</v>
      </c>
      <c r="G35" s="2" t="s">
        <v>137</v>
      </c>
      <c r="H35" s="2" t="s">
        <v>41</v>
      </c>
      <c r="I35" s="3">
        <v>46267.41666666667</v>
      </c>
      <c r="J35" s="2" t="s">
        <v>459</v>
      </c>
      <c r="K35" s="2" t="s">
        <v>193</v>
      </c>
      <c r="L35" s="4">
        <v>110.88</v>
      </c>
      <c r="M35" s="5">
        <f>IF(AND(ISNUMBER(N35),ISNUMBER(L35),L35&gt;0),ROUND(N35/L35,2),"")</f>
        <v>2185.7</v>
      </c>
      <c r="N35" s="6">
        <v>242350.47</v>
      </c>
      <c r="O35" s="7">
        <v>346214.96</v>
      </c>
      <c r="P35" s="8">
        <f>IF(AND(ISNUMBER(N35),ISNUMBER(O35),O35&gt;0),N35/O35,"")</f>
        <v>0.6999999942232421</v>
      </c>
      <c r="Q35" s="6">
        <v>0</v>
      </c>
      <c r="R35" s="6">
        <v>0</v>
      </c>
      <c r="S35" s="9" t="s">
        <v>7</v>
      </c>
      <c r="T35" s="9" t="s">
        <v>550</v>
      </c>
    </row>
    <row r="36" spans="1:20" x14ac:dyDescent="0.25">
      <c r="A36" s="2" t="s">
        <v>34</v>
      </c>
      <c r="B36" s="2" t="s">
        <v>35</v>
      </c>
      <c r="C36" s="2" t="s">
        <v>133</v>
      </c>
      <c r="D36" s="2" t="s">
        <v>551</v>
      </c>
      <c r="E36" s="2" t="s">
        <v>552</v>
      </c>
      <c r="F36" s="2" t="s">
        <v>39</v>
      </c>
      <c r="G36" s="2" t="s">
        <v>137</v>
      </c>
      <c r="H36" s="2" t="s">
        <v>41</v>
      </c>
      <c r="I36" s="3">
        <v>46267.41666666667</v>
      </c>
      <c r="J36" s="2" t="s">
        <v>459</v>
      </c>
      <c r="K36" s="2" t="s">
        <v>138</v>
      </c>
      <c r="L36" s="4">
        <v>119.16</v>
      </c>
      <c r="M36" s="5">
        <f>IF(AND(ISNUMBER(N36),ISNUMBER(L36),L36&gt;0),ROUND(N36/L36,2),"")</f>
        <v>3526.75</v>
      </c>
      <c r="N36" s="6">
        <v>420247</v>
      </c>
      <c r="O36" s="7">
        <v>600352.25</v>
      </c>
      <c r="P36" s="8">
        <f>IF(AND(ISNUMBER(N36),ISNUMBER(O36),O36&gt;0),N36/O36,"")</f>
        <v>0.7000007079177266</v>
      </c>
      <c r="Q36" s="6">
        <v>0</v>
      </c>
      <c r="R36" s="6">
        <v>0</v>
      </c>
      <c r="S36" s="2" t="s">
        <v>236</v>
      </c>
      <c r="T36" s="9" t="s">
        <v>553</v>
      </c>
    </row>
    <row r="37" spans="1:20" x14ac:dyDescent="0.25">
      <c r="A37" s="2" t="s">
        <v>34</v>
      </c>
      <c r="B37" s="2" t="s">
        <v>35</v>
      </c>
      <c r="C37" s="2" t="s">
        <v>133</v>
      </c>
      <c r="D37" s="2" t="s">
        <v>554</v>
      </c>
      <c r="E37" s="2" t="s">
        <v>555</v>
      </c>
      <c r="F37" s="2" t="s">
        <v>39</v>
      </c>
      <c r="G37" s="2" t="s">
        <v>137</v>
      </c>
      <c r="H37" s="2" t="s">
        <v>85</v>
      </c>
      <c r="I37" s="3">
        <v>46267.41666666667</v>
      </c>
      <c r="J37" s="2" t="s">
        <v>459</v>
      </c>
      <c r="K37" s="2" t="s">
        <v>138</v>
      </c>
      <c r="L37" s="4">
        <v>192.91</v>
      </c>
      <c r="M37" s="5">
        <f>IF(AND(ISNUMBER(N37),ISNUMBER(L37),L37&gt;0),ROUND(N37/L37,2),"")</f>
        <v>2300.92</v>
      </c>
      <c r="N37" s="6">
        <v>443871.2</v>
      </c>
      <c r="O37" s="7">
        <v>792627</v>
      </c>
      <c r="P37" s="8">
        <f>IF(AND(ISNUMBER(N37),ISNUMBER(O37),O37&gt;0),N37/O37,"")</f>
        <v>0.5600001009301979</v>
      </c>
      <c r="Q37" s="6">
        <v>0</v>
      </c>
      <c r="R37" s="6">
        <v>0</v>
      </c>
      <c r="S37" s="9" t="s">
        <v>7</v>
      </c>
      <c r="T37" s="9" t="s">
        <v>556</v>
      </c>
    </row>
    <row r="38" spans="1:20" x14ac:dyDescent="0.25">
      <c r="A38" s="2" t="s">
        <v>34</v>
      </c>
      <c r="B38" s="2" t="s">
        <v>35</v>
      </c>
      <c r="C38" s="2" t="s">
        <v>133</v>
      </c>
      <c r="D38" s="2" t="s">
        <v>557</v>
      </c>
      <c r="E38" s="2" t="s">
        <v>558</v>
      </c>
      <c r="F38" s="2" t="s">
        <v>39</v>
      </c>
      <c r="G38" s="2" t="s">
        <v>137</v>
      </c>
      <c r="H38" s="2" t="s">
        <v>85</v>
      </c>
      <c r="I38" s="3">
        <v>46267.41666666667</v>
      </c>
      <c r="J38" s="2" t="s">
        <v>459</v>
      </c>
      <c r="K38" s="2" t="s">
        <v>138</v>
      </c>
      <c r="L38" s="4">
        <v>147.97</v>
      </c>
      <c r="M38" s="5">
        <f>IF(AND(ISNUMBER(N38),ISNUMBER(L38),L38&gt;0),ROUND(N38/L38,2),"")</f>
        <v>2786</v>
      </c>
      <c r="N38" s="6">
        <v>412245</v>
      </c>
      <c r="O38" s="7">
        <v>736151</v>
      </c>
      <c r="P38" s="8">
        <f>IF(AND(ISNUMBER(N38),ISNUMBER(O38),O38&gt;0),N38/O38,"")</f>
        <v>0.5600005977034603</v>
      </c>
      <c r="Q38" s="6">
        <v>0</v>
      </c>
      <c r="R38" s="6">
        <v>0</v>
      </c>
      <c r="S38" s="9" t="s">
        <v>7</v>
      </c>
      <c r="T38" s="9" t="s">
        <v>559</v>
      </c>
    </row>
    <row r="39" spans="1:20" x14ac:dyDescent="0.25">
      <c r="A39" s="2" t="s">
        <v>34</v>
      </c>
      <c r="B39" s="2" t="s">
        <v>35</v>
      </c>
      <c r="C39" s="2" t="s">
        <v>106</v>
      </c>
      <c r="D39" s="2" t="s">
        <v>560</v>
      </c>
      <c r="E39" s="2" t="s">
        <v>561</v>
      </c>
      <c r="F39" s="2" t="s">
        <v>181</v>
      </c>
      <c r="G39" s="2" t="s">
        <v>137</v>
      </c>
      <c r="H39" s="2" t="s">
        <v>85</v>
      </c>
      <c r="I39" s="3">
        <v>46267.41666666667</v>
      </c>
      <c r="J39" s="2" t="s">
        <v>459</v>
      </c>
      <c r="K39" s="2" t="s">
        <v>86</v>
      </c>
      <c r="L39" s="4">
        <v>64.21</v>
      </c>
      <c r="M39" s="5">
        <f>IF(AND(ISNUMBER(N39),ISNUMBER(L39),L39&gt;0),ROUND(N39/L39,2),"")</f>
        <v>6696.78</v>
      </c>
      <c r="N39" s="6">
        <v>430000</v>
      </c>
      <c r="O39" s="7">
        <v>755000</v>
      </c>
      <c r="P39" s="8">
        <f>IF(AND(ISNUMBER(N39),ISNUMBER(O39),O39&gt;0),N39/O39,"")</f>
        <v>0.5695364238410596</v>
      </c>
      <c r="Q39" s="6">
        <v>0</v>
      </c>
      <c r="R39" s="6">
        <v>0</v>
      </c>
      <c r="S39" s="9" t="s">
        <v>7</v>
      </c>
      <c r="T39" s="9" t="s">
        <v>562</v>
      </c>
    </row>
    <row r="40" spans="1:20" x14ac:dyDescent="0.25">
      <c r="A40" s="2" t="s">
        <v>34</v>
      </c>
      <c r="B40" s="2" t="s">
        <v>114</v>
      </c>
      <c r="C40" s="2" t="s">
        <v>404</v>
      </c>
      <c r="D40" s="2" t="s">
        <v>563</v>
      </c>
      <c r="E40" s="2" t="s">
        <v>564</v>
      </c>
      <c r="F40" s="2" t="s">
        <v>39</v>
      </c>
      <c r="G40" s="2" t="s">
        <v>137</v>
      </c>
      <c r="H40" s="2" t="s">
        <v>41</v>
      </c>
      <c r="I40" s="3">
        <v>46267.41666666667</v>
      </c>
      <c r="J40" s="2" t="s">
        <v>459</v>
      </c>
      <c r="K40" s="2" t="s">
        <v>407</v>
      </c>
      <c r="L40" s="4">
        <v>225.97</v>
      </c>
      <c r="M40" s="5">
        <f>IF(AND(ISNUMBER(N40),ISNUMBER(L40),L40&gt;0),ROUND(N40/L40,2),"")</f>
        <v>6300</v>
      </c>
      <c r="N40" s="6">
        <v>1423611</v>
      </c>
      <c r="O40" s="7">
        <v>2033730</v>
      </c>
      <c r="P40" s="8">
        <f>IF(AND(ISNUMBER(N40),ISNUMBER(O40),O40&gt;0),N40/O40,"")</f>
        <v>0.7</v>
      </c>
      <c r="Q40" s="6">
        <v>0</v>
      </c>
      <c r="R40" s="6">
        <v>0</v>
      </c>
      <c r="S40" s="9" t="s">
        <v>7</v>
      </c>
      <c r="T40" s="9" t="s">
        <v>565</v>
      </c>
    </row>
    <row r="41" spans="1:20" x14ac:dyDescent="0.25">
      <c r="A41" s="2" t="s">
        <v>34</v>
      </c>
      <c r="B41" s="2" t="s">
        <v>114</v>
      </c>
      <c r="C41" s="2" t="s">
        <v>404</v>
      </c>
      <c r="D41" s="2" t="s">
        <v>566</v>
      </c>
      <c r="E41" s="2" t="s">
        <v>567</v>
      </c>
      <c r="F41" s="2" t="s">
        <v>39</v>
      </c>
      <c r="G41" s="2" t="s">
        <v>137</v>
      </c>
      <c r="H41" s="2" t="s">
        <v>41</v>
      </c>
      <c r="I41" s="3">
        <v>46267.41666666667</v>
      </c>
      <c r="J41" s="2" t="s">
        <v>459</v>
      </c>
      <c r="K41" s="2" t="s">
        <v>407</v>
      </c>
      <c r="L41" s="4">
        <v>100.94</v>
      </c>
      <c r="M41" s="5">
        <f>IF(AND(ISNUMBER(N41),ISNUMBER(L41),L41&gt;0),ROUND(N41/L41,2),"")</f>
        <v>3200</v>
      </c>
      <c r="N41" s="6">
        <v>323008</v>
      </c>
      <c r="O41" s="7">
        <v>403760</v>
      </c>
      <c r="P41" s="8">
        <f>IF(AND(ISNUMBER(N41),ISNUMBER(O41),O41&gt;0),N41/O41,"")</f>
        <v>0.8</v>
      </c>
      <c r="Q41" s="6">
        <v>0</v>
      </c>
      <c r="R41" s="6">
        <v>0</v>
      </c>
      <c r="S41" s="9" t="s">
        <v>7</v>
      </c>
      <c r="T41" s="9" t="s">
        <v>568</v>
      </c>
    </row>
    <row r="42" spans="1:20" x14ac:dyDescent="0.25">
      <c r="A42" s="2" t="s">
        <v>34</v>
      </c>
      <c r="B42" s="2" t="s">
        <v>114</v>
      </c>
      <c r="C42" s="2" t="s">
        <v>404</v>
      </c>
      <c r="D42" s="2" t="s">
        <v>569</v>
      </c>
      <c r="E42" s="2" t="s">
        <v>570</v>
      </c>
      <c r="F42" s="2" t="s">
        <v>39</v>
      </c>
      <c r="G42" s="2" t="s">
        <v>137</v>
      </c>
      <c r="H42" s="2" t="s">
        <v>41</v>
      </c>
      <c r="I42" s="3">
        <v>46267.41666666667</v>
      </c>
      <c r="J42" s="2" t="s">
        <v>459</v>
      </c>
      <c r="K42" s="2" t="s">
        <v>407</v>
      </c>
      <c r="L42" s="4">
        <v>45.56</v>
      </c>
      <c r="M42" s="5">
        <f>IF(AND(ISNUMBER(N42),ISNUMBER(L42),L42&gt;0),ROUND(N42/L42,2),"")</f>
        <v>3570.02</v>
      </c>
      <c r="N42" s="6">
        <v>162650</v>
      </c>
      <c r="O42" s="7">
        <v>232356</v>
      </c>
      <c r="P42" s="8">
        <f>IF(AND(ISNUMBER(N42),ISNUMBER(O42),O42&gt;0),N42/O42,"")</f>
        <v>0.7000034429926492</v>
      </c>
      <c r="Q42" s="6">
        <v>0</v>
      </c>
      <c r="R42" s="6">
        <v>0</v>
      </c>
      <c r="S42" s="9" t="s">
        <v>7</v>
      </c>
      <c r="T42" s="9" t="s">
        <v>571</v>
      </c>
    </row>
    <row r="43" spans="1:20" x14ac:dyDescent="0.25">
      <c r="A43" s="2" t="s">
        <v>34</v>
      </c>
      <c r="B43" s="2" t="s">
        <v>114</v>
      </c>
      <c r="C43" s="2" t="s">
        <v>274</v>
      </c>
      <c r="D43" s="2" t="s">
        <v>572</v>
      </c>
      <c r="E43" s="2" t="s">
        <v>294</v>
      </c>
      <c r="F43" s="2" t="s">
        <v>39</v>
      </c>
      <c r="G43" s="2" t="s">
        <v>137</v>
      </c>
      <c r="H43" s="2" t="s">
        <v>41</v>
      </c>
      <c r="I43" s="3">
        <v>46267.41666666667</v>
      </c>
      <c r="J43" s="2" t="s">
        <v>459</v>
      </c>
      <c r="K43" s="2" t="s">
        <v>573</v>
      </c>
      <c r="L43" s="4">
        <v>155.34</v>
      </c>
      <c r="M43" s="5">
        <f>IF(AND(ISNUMBER(N43),ISNUMBER(L43),L43&gt;0),ROUND(N43/L43,2),"")</f>
        <v>7403.12</v>
      </c>
      <c r="N43" s="6">
        <v>1150000</v>
      </c>
      <c r="O43" s="7">
        <v>1276501.53</v>
      </c>
      <c r="P43" s="8">
        <f>IF(AND(ISNUMBER(N43),ISNUMBER(O43),O43&gt;0),N43/O43,"")</f>
        <v>0.9008998210914796</v>
      </c>
      <c r="Q43" s="6">
        <v>0</v>
      </c>
      <c r="R43" s="6">
        <v>0</v>
      </c>
      <c r="S43" s="2" t="s">
        <v>236</v>
      </c>
      <c r="T43" s="9" t="s">
        <v>574</v>
      </c>
    </row>
    <row r="44" spans="1:20" x14ac:dyDescent="0.25">
      <c r="A44" s="2" t="s">
        <v>34</v>
      </c>
      <c r="B44" s="2" t="s">
        <v>114</v>
      </c>
      <c r="C44" s="2" t="s">
        <v>302</v>
      </c>
      <c r="D44" s="2" t="s">
        <v>575</v>
      </c>
      <c r="E44" s="2" t="s">
        <v>576</v>
      </c>
      <c r="F44" s="2" t="s">
        <v>39</v>
      </c>
      <c r="G44" s="2" t="s">
        <v>137</v>
      </c>
      <c r="H44" s="2" t="s">
        <v>41</v>
      </c>
      <c r="I44" s="3">
        <v>46267.41666666667</v>
      </c>
      <c r="J44" s="2" t="s">
        <v>459</v>
      </c>
      <c r="K44" s="2" t="s">
        <v>305</v>
      </c>
      <c r="L44" s="4">
        <v>123.65</v>
      </c>
      <c r="M44" s="5">
        <f>IF(AND(ISNUMBER(N44),ISNUMBER(L44),L44&gt;0),ROUND(N44/L44,2),"")</f>
        <v>3639.3</v>
      </c>
      <c r="N44" s="6">
        <v>450000</v>
      </c>
      <c r="O44" s="7">
        <v>558206</v>
      </c>
      <c r="P44" s="8">
        <f>IF(AND(ISNUMBER(N44),ISNUMBER(O44),O44&gt;0),N44/O44,"")</f>
        <v>0.8061540004944411</v>
      </c>
      <c r="Q44" s="6">
        <v>0</v>
      </c>
      <c r="R44" s="6">
        <v>0</v>
      </c>
      <c r="S44" s="9" t="s">
        <v>7</v>
      </c>
      <c r="T44" s="9" t="s">
        <v>577</v>
      </c>
    </row>
    <row r="45" spans="1:20" x14ac:dyDescent="0.25">
      <c r="A45" s="2" t="s">
        <v>34</v>
      </c>
      <c r="B45" s="2" t="s">
        <v>114</v>
      </c>
      <c r="C45" s="2" t="s">
        <v>302</v>
      </c>
      <c r="D45" s="2" t="s">
        <v>578</v>
      </c>
      <c r="E45" s="2" t="s">
        <v>445</v>
      </c>
      <c r="F45" s="2" t="s">
        <v>39</v>
      </c>
      <c r="G45" s="2" t="s">
        <v>137</v>
      </c>
      <c r="H45" s="2" t="s">
        <v>41</v>
      </c>
      <c r="I45" s="3">
        <v>46267.41666666667</v>
      </c>
      <c r="J45" s="2" t="s">
        <v>459</v>
      </c>
      <c r="K45" s="2" t="s">
        <v>305</v>
      </c>
      <c r="L45" s="4">
        <v>115.3</v>
      </c>
      <c r="M45" s="5">
        <f>IF(AND(ISNUMBER(N45),ISNUMBER(L45),L45&gt;0),ROUND(N45/L45,2),"")</f>
        <v>8516.91</v>
      </c>
      <c r="N45" s="6">
        <v>982000</v>
      </c>
      <c r="O45" s="7">
        <v>1090830</v>
      </c>
      <c r="P45" s="8">
        <f>IF(AND(ISNUMBER(N45),ISNUMBER(O45),O45&gt;0),N45/O45,"")</f>
        <v>0.900231933481844</v>
      </c>
      <c r="Q45" s="6">
        <v>0</v>
      </c>
      <c r="R45" s="6">
        <v>2</v>
      </c>
      <c r="S45" s="9" t="s">
        <v>7</v>
      </c>
      <c r="T45" s="9" t="s">
        <v>579</v>
      </c>
    </row>
    <row r="46" spans="1:20" x14ac:dyDescent="0.25">
      <c r="A46" s="2" t="s">
        <v>34</v>
      </c>
      <c r="B46" s="2" t="s">
        <v>114</v>
      </c>
      <c r="C46" s="2" t="s">
        <v>580</v>
      </c>
      <c r="D46" s="2" t="s">
        <v>581</v>
      </c>
      <c r="E46" s="2" t="s">
        <v>582</v>
      </c>
      <c r="F46" s="2" t="s">
        <v>39</v>
      </c>
      <c r="G46" s="2" t="s">
        <v>137</v>
      </c>
      <c r="H46" s="2" t="s">
        <v>41</v>
      </c>
      <c r="I46" s="3">
        <v>46267.41666666667</v>
      </c>
      <c r="J46" s="2" t="s">
        <v>459</v>
      </c>
      <c r="K46" s="2" t="s">
        <v>407</v>
      </c>
      <c r="L46" s="4">
        <v>131.64</v>
      </c>
      <c r="M46" s="5">
        <f>IF(AND(ISNUMBER(N46),ISNUMBER(L46),L46&gt;0),ROUND(N46/L46,2),"")</f>
        <v>8406.49</v>
      </c>
      <c r="N46" s="6">
        <v>1106630</v>
      </c>
      <c r="O46" s="7">
        <v>1580900</v>
      </c>
      <c r="P46" s="8">
        <f>IF(AND(ISNUMBER(N46),ISNUMBER(O46),O46&gt;0),N46/O46,"")</f>
        <v>0.7</v>
      </c>
      <c r="Q46" s="6">
        <v>0</v>
      </c>
      <c r="R46" s="6">
        <v>0</v>
      </c>
      <c r="S46" s="9" t="s">
        <v>7</v>
      </c>
      <c r="T46" s="9" t="s">
        <v>583</v>
      </c>
    </row>
    <row r="47" spans="1:20" x14ac:dyDescent="0.25">
      <c r="A47" s="2" t="s">
        <v>34</v>
      </c>
      <c r="B47" s="2" t="s">
        <v>114</v>
      </c>
      <c r="C47" s="2" t="s">
        <v>302</v>
      </c>
      <c r="D47" s="2" t="s">
        <v>584</v>
      </c>
      <c r="E47" s="2" t="s">
        <v>445</v>
      </c>
      <c r="F47" s="2" t="s">
        <v>39</v>
      </c>
      <c r="G47" s="2" t="s">
        <v>137</v>
      </c>
      <c r="H47" s="2" t="s">
        <v>41</v>
      </c>
      <c r="I47" s="3">
        <v>46267.41666666667</v>
      </c>
      <c r="J47" s="2" t="s">
        <v>459</v>
      </c>
      <c r="K47" s="2" t="s">
        <v>305</v>
      </c>
      <c r="L47" s="4">
        <v>115.3</v>
      </c>
      <c r="M47" s="5">
        <f>IF(AND(ISNUMBER(N47),ISNUMBER(L47),L47&gt;0),ROUND(N47/L47,2),"")</f>
        <v>8516.91</v>
      </c>
      <c r="N47" s="6">
        <v>982000</v>
      </c>
      <c r="O47" s="7">
        <v>1090830</v>
      </c>
      <c r="P47" s="8">
        <f>IF(AND(ISNUMBER(N47),ISNUMBER(O47),O47&gt;0),N47/O47,"")</f>
        <v>0.900231933481844</v>
      </c>
      <c r="Q47" s="6">
        <v>0</v>
      </c>
      <c r="R47" s="6">
        <v>1</v>
      </c>
      <c r="S47" s="9" t="s">
        <v>7</v>
      </c>
      <c r="T47" s="9" t="s">
        <v>585</v>
      </c>
    </row>
    <row r="48" spans="1:20" x14ac:dyDescent="0.25">
      <c r="A48" s="2" t="s">
        <v>34</v>
      </c>
      <c r="B48" s="2" t="s">
        <v>114</v>
      </c>
      <c r="C48" s="2" t="s">
        <v>404</v>
      </c>
      <c r="D48" s="2" t="s">
        <v>586</v>
      </c>
      <c r="E48" s="2" t="s">
        <v>587</v>
      </c>
      <c r="F48" s="2" t="s">
        <v>39</v>
      </c>
      <c r="G48" s="2" t="s">
        <v>137</v>
      </c>
      <c r="H48" s="2" t="s">
        <v>41</v>
      </c>
      <c r="I48" s="3">
        <v>46267.41666666667</v>
      </c>
      <c r="J48" s="2" t="s">
        <v>459</v>
      </c>
      <c r="K48" s="2" t="s">
        <v>407</v>
      </c>
      <c r="L48" s="4">
        <v>286.66</v>
      </c>
      <c r="M48" s="5">
        <f>IF(AND(ISNUMBER(N48),ISNUMBER(L48),L48&gt;0),ROUND(N48/L48,2),"")</f>
        <v>1414.85</v>
      </c>
      <c r="N48" s="6">
        <v>405580</v>
      </c>
      <c r="O48" s="7">
        <v>579400</v>
      </c>
      <c r="P48" s="8">
        <f>IF(AND(ISNUMBER(N48),ISNUMBER(O48),O48&gt;0),N48/O48,"")</f>
        <v>0.7</v>
      </c>
      <c r="Q48" s="6">
        <v>0</v>
      </c>
      <c r="R48" s="6">
        <v>0</v>
      </c>
      <c r="S48" s="9" t="s">
        <v>7</v>
      </c>
      <c r="T48" s="9" t="s">
        <v>588</v>
      </c>
    </row>
    <row r="49" spans="1:20" x14ac:dyDescent="0.25">
      <c r="A49" s="2" t="s">
        <v>34</v>
      </c>
      <c r="B49" s="2" t="s">
        <v>114</v>
      </c>
      <c r="C49" s="2" t="s">
        <v>274</v>
      </c>
      <c r="D49" s="2" t="s">
        <v>589</v>
      </c>
      <c r="E49" s="2" t="s">
        <v>38</v>
      </c>
      <c r="F49" s="2" t="s">
        <v>181</v>
      </c>
      <c r="G49" s="2" t="s">
        <v>137</v>
      </c>
      <c r="H49" s="2" t="s">
        <v>85</v>
      </c>
      <c r="I49" s="3">
        <v>46267.41666666667</v>
      </c>
      <c r="J49" s="2" t="s">
        <v>459</v>
      </c>
      <c r="K49" s="2" t="s">
        <v>590</v>
      </c>
      <c r="L49" s="4">
        <v>39.51</v>
      </c>
      <c r="M49" s="5">
        <f>IF(AND(ISNUMBER(N49),ISNUMBER(L49),L49&gt;0),ROUND(N49/L49,2),"")</f>
        <v>4252.09</v>
      </c>
      <c r="N49" s="6">
        <v>168000</v>
      </c>
      <c r="O49" s="7">
        <v>300000</v>
      </c>
      <c r="P49" s="8">
        <f>IF(AND(ISNUMBER(N49),ISNUMBER(O49),O49&gt;0),N49/O49,"")</f>
        <v>0.56</v>
      </c>
      <c r="Q49" s="6">
        <v>0</v>
      </c>
      <c r="R49" s="6">
        <v>0</v>
      </c>
      <c r="S49" s="9" t="s">
        <v>7</v>
      </c>
      <c r="T49" s="9" t="s">
        <v>591</v>
      </c>
    </row>
    <row r="50" spans="1:20" x14ac:dyDescent="0.25">
      <c r="A50" s="2" t="s">
        <v>34</v>
      </c>
      <c r="B50" s="2" t="s">
        <v>114</v>
      </c>
      <c r="C50" s="2" t="s">
        <v>115</v>
      </c>
      <c r="D50" s="2" t="s">
        <v>592</v>
      </c>
      <c r="E50" s="2" t="s">
        <v>593</v>
      </c>
      <c r="F50" s="2" t="s">
        <v>181</v>
      </c>
      <c r="G50" s="2" t="s">
        <v>137</v>
      </c>
      <c r="H50" s="2" t="s">
        <v>85</v>
      </c>
      <c r="I50" s="3">
        <v>46267.41666666667</v>
      </c>
      <c r="J50" s="2" t="s">
        <v>459</v>
      </c>
      <c r="K50" s="2" t="s">
        <v>350</v>
      </c>
      <c r="L50" s="4">
        <v>219.8</v>
      </c>
      <c r="M50" s="5">
        <f>IF(AND(ISNUMBER(N50),ISNUMBER(L50),L50&gt;0),ROUND(N50/L50,2),"")</f>
        <v>3805.19</v>
      </c>
      <c r="N50" s="6">
        <v>836381</v>
      </c>
      <c r="O50" s="7">
        <v>1493537</v>
      </c>
      <c r="P50" s="8">
        <f>IF(AND(ISNUMBER(N50),ISNUMBER(O50),O50&gt;0),N50/O50,"")</f>
        <v>0.5600001874744315</v>
      </c>
      <c r="Q50" s="6">
        <v>0</v>
      </c>
      <c r="R50" s="6">
        <v>0</v>
      </c>
      <c r="S50" s="9" t="s">
        <v>7</v>
      </c>
      <c r="T50" s="9" t="s">
        <v>594</v>
      </c>
    </row>
  </sheetData>
  <autoFilter ref="A1:T5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2026-09-02T03:04:54Z</dcterms:created>
  <dcterms:modified xsi:type="dcterms:W3CDTF">2026-09-02T03:04:54Z</dcterms:modified>
</cp:coreProperties>
</file>