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<sst xmlns="http://schemas.openxmlformats.org/spreadsheetml/2006/main" count="4772" uniqueCount="1034">
  <si>
    <t>进度项目</t>
  </si>
  <si>
    <t>当前状态</t>
  </si>
  <si>
    <t>运行状态</t>
  </si>
  <si>
    <t>已完成</t>
  </si>
  <si>
    <t>已保存记录</t>
  </si>
  <si>
    <t>失败记录</t>
  </si>
  <si>
    <t>当前平台</t>
  </si>
  <si>
    <t/>
  </si>
  <si>
    <t>当前分类</t>
  </si>
  <si>
    <t>当前标的</t>
  </si>
  <si>
    <t>全部采集、检查和排序完成</t>
  </si>
  <si>
    <t>当前链接</t>
  </si>
  <si>
    <t>最近保存</t>
  </si>
  <si>
    <t>2026-09-04T04:01:53.154Z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</si>
  <si>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</si>
  <si>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</si>
  <si>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</si>
  <si>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</si>
  <si>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</si>
  <si>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</si>
  <si>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</si>
  <si>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</si>
  <si>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</si>
  <si>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</si>
  <si>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</si>
  <si>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</si>
  <si>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</si>
  <si>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</si>
  <si>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</si>
  <si>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</si>
  <si>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</t>
  </si>
  <si>
    <t>折扣率(%)</t>
  </si>
  <si>
    <t>备注</t>
  </si>
  <si>
    <t>网站链接</t>
  </si>
  <si>
    <t>福建省</t>
  </si>
  <si>
    <t>福州市</t>
  </si>
  <si>
    <t>马尾区</t>
  </si>
  <si>
    <t>马尾街道江滨东大道68号名城港湾二区21#楼706单元</t>
  </si>
  <si>
    <t>名城</t>
  </si>
  <si>
    <t>住宅</t>
  </si>
  <si>
    <t>京东拍卖</t>
  </si>
  <si>
    <t>二拍</t>
  </si>
  <si>
    <t>即将开始</t>
  </si>
  <si>
    <t>福州市台江区人民法院</t>
  </si>
  <si>
    <t>https://paimai.jd.com/311217150</t>
  </si>
  <si>
    <t>仓山区</t>
  </si>
  <si>
    <t>金山街道石边路124号建中小区25号楼309单元</t>
  </si>
  <si>
    <t>建中小区</t>
  </si>
  <si>
    <t>一拍</t>
  </si>
  <si>
    <t>福州市仓山区人民法院</t>
  </si>
  <si>
    <t>https://paimai.jd.com/311216978</t>
  </si>
  <si>
    <t>仓山镇东升村东升解困小区2#楼109单元、2#楼1层79附属间</t>
  </si>
  <si>
    <t>东升解困小区</t>
  </si>
  <si>
    <t>福州市鼓楼区人民法院</t>
  </si>
  <si>
    <t>https://paimai.jd.com/311216894</t>
  </si>
  <si>
    <t>盖山镇濂水路9号闽江世纪城-53地块B区B-2#楼501单元</t>
  </si>
  <si>
    <t>闽江世纪城</t>
  </si>
  <si>
    <t>福建省福州市中级人民法院</t>
  </si>
  <si>
    <t>https://paimai.jd.com/311216891</t>
  </si>
  <si>
    <t>鼓楼区</t>
  </si>
  <si>
    <t>五凤街道软件大道53号五凤新区9#楼103单元</t>
  </si>
  <si>
    <t>商住小区</t>
  </si>
  <si>
    <t>https://paimai.jd.com/311216889</t>
  </si>
  <si>
    <t>晋安区</t>
  </si>
  <si>
    <t>鼓山镇洋里路23号六一佳园（绕城高速6#安置地）9#楼604单元</t>
  </si>
  <si>
    <t>六一佳园</t>
  </si>
  <si>
    <t>https://paimai.jd.com/311216838</t>
  </si>
  <si>
    <t>闽侯县</t>
  </si>
  <si>
    <t>南通镇福通路85号中海凤凰熙岸（现：中海凤凰熙岸小区）5#楼605单元</t>
  </si>
  <si>
    <t>中海凤凰熙岸小区</t>
  </si>
  <si>
    <t>https://paimai.jd.com/311216100</t>
  </si>
  <si>
    <t>金山街道闽江大道228号金汇豪庭2#、3#、4#、5#、6#楼连接体地下1层134车位</t>
  </si>
  <si>
    <t>金汇豪庭</t>
  </si>
  <si>
    <t>车位</t>
  </si>
  <si>
    <t>https://paimai.jd.com/311215794</t>
  </si>
  <si>
    <t>平潭县</t>
  </si>
  <si>
    <t>平潭金井纵一路与金井横一路交叉口东南侧平潭海峡如意城G008地块二期A7#302</t>
  </si>
  <si>
    <t>平潭海峡如意城</t>
  </si>
  <si>
    <t>变卖</t>
  </si>
  <si>
    <t>平潭县人民法院</t>
  </si>
  <si>
    <t>https://paimai.jd.com/311215738</t>
  </si>
  <si>
    <t>新店镇南平东路668号鲁能花园一期地下室地下1层0164车位</t>
  </si>
  <si>
    <t>鲁能花园</t>
  </si>
  <si>
    <t>https://paimai.jd.com/311215694</t>
  </si>
  <si>
    <t>江滨东大道188号阳江瑞景三期53#103复式单元及地下1层03储藏间</t>
  </si>
  <si>
    <t>长滩美墅</t>
  </si>
  <si>
    <t>西安市雁塔区人民法院</t>
  </si>
  <si>
    <t>主住宅：229.07㎡；储藏间：78.3㎡。</t>
  </si>
  <si>
    <t>https://paimai.jd.com/311212458</t>
  </si>
  <si>
    <t>连江县</t>
  </si>
  <si>
    <t>黄岐镇海丰街丰明路120号-2二扇一直房产</t>
  </si>
  <si>
    <t>https://paimai.jd.com/311210981</t>
  </si>
  <si>
    <t>新店镇真珠谷路117号磐石新城（二区）（原琴亭八期）6#楼2206单元</t>
  </si>
  <si>
    <t>磐石新城</t>
  </si>
  <si>
    <t>福州市晋安区人民法院</t>
  </si>
  <si>
    <t>https://paimai.jd.com/311210296</t>
  </si>
  <si>
    <t>上街镇联心村402单元</t>
  </si>
  <si>
    <t>https://paimai.jd.com/311209874</t>
  </si>
  <si>
    <t>象园街道晋连路1号世欧·王庄城C-a2地块一期8#楼4303单元</t>
  </si>
  <si>
    <t>世欧王庄城</t>
  </si>
  <si>
    <t>https://paimai.jd.com/311209757</t>
  </si>
  <si>
    <t>甘蔗街道滨江西大道66号闽侯世茂滨江新城30#楼1207复式单元</t>
  </si>
  <si>
    <t>闽侯世茂滨江新城</t>
  </si>
  <si>
    <t>https://paimai.jd.com/311209736</t>
  </si>
  <si>
    <t>鼓山镇福马路958号禹洲鼓山一号1-13#楼102复式单元，地下1层02车库</t>
  </si>
  <si>
    <t>禹洲鼓山一号</t>
  </si>
  <si>
    <t>https://paimai.jd.com/311207087</t>
  </si>
  <si>
    <t>岚城乡上楼村366号融信大卫城A区A6#2202室</t>
  </si>
  <si>
    <t>融信大卫城</t>
  </si>
  <si>
    <t>https://paimai.jd.com/311205356</t>
  </si>
  <si>
    <t>上街镇源通东路136号福晟钱隆公馆B区10#楼1802单元</t>
  </si>
  <si>
    <t>福晟钱隆公馆</t>
  </si>
  <si>
    <t>https://paimai.jd.com/311203065</t>
  </si>
  <si>
    <t>岳峰镇东岳路262号东岳公寓（东岳小区一期）1#楼910单元</t>
  </si>
  <si>
    <t>东岳公寓</t>
  </si>
  <si>
    <t>https://paimai.jd.com/311202489</t>
  </si>
  <si>
    <t>福清市</t>
  </si>
  <si>
    <t>海口镇岑兜村、洋坂村永鸿国际城小区（B区）9号楼501单元</t>
  </si>
  <si>
    <t>永鸿国际城</t>
  </si>
  <si>
    <t>阿里资产</t>
  </si>
  <si>
    <t>福清市人民法院</t>
  </si>
  <si>
    <t>https://sf-item.taobao.com/sf_item/1080759821203.htm</t>
  </si>
  <si>
    <t>罗源县</t>
  </si>
  <si>
    <t>凤山镇凤南东路179号盛世名城小区二期1座1803单元</t>
  </si>
  <si>
    <t>盛世名城小区二期</t>
  </si>
  <si>
    <t>罗源县人民法院</t>
  </si>
  <si>
    <t>户型：3室1厅</t>
  </si>
  <si>
    <t>https://sf-item.taobao.com/sf_item/1078835607049.htm</t>
  </si>
  <si>
    <t>松山镇松岐路1号罗源湾滨海新城罗嘉苑23#楼907单元</t>
  </si>
  <si>
    <t>罗源湾滨海新城罗嘉苑</t>
  </si>
  <si>
    <t>户型：2室1厅</t>
  </si>
  <si>
    <t>https://sf-item.taobao.com/sf_item/1080759309411.htm</t>
  </si>
  <si>
    <t>盖山镇南社一路11号金辉澜林轩（二区）B-1#楼6层05商业</t>
  </si>
  <si>
    <t>商业</t>
  </si>
  <si>
    <t>https://sf-item.taobao.com/sf_item/1081767188067.htm</t>
  </si>
  <si>
    <t>海口镇岑兜村、洋坂村永鸿国际城小区（B区）9号楼901单元</t>
  </si>
  <si>
    <t>https://sf-item.taobao.com/sf_item/1080759061567.htm</t>
  </si>
  <si>
    <t>凤山镇罗川中路18号泰康佳园住宅区6#楼202单元</t>
  </si>
  <si>
    <t>泰康佳园</t>
  </si>
  <si>
    <t>https://sf-item.taobao.com/sf_item/1081766864009.htm</t>
  </si>
  <si>
    <t>松山镇松岐路1号罗源湾滨海新城罗旺苑20#楼3206单元</t>
  </si>
  <si>
    <t>罗源湾滨海新城</t>
  </si>
  <si>
    <t>https://sf-item.taobao.com/sf_item/1081766100747.htm</t>
  </si>
  <si>
    <t>海口镇岑兜村、洋坂村永鸿国际城小区（B区）1号楼201单元</t>
  </si>
  <si>
    <t>https://sf-item.taobao.com/sf_item/1080758349378.htm</t>
  </si>
  <si>
    <t>盖山镇南社一路11号金辉澜林轩（二区）B-1#楼6层17商业</t>
  </si>
  <si>
    <t>https://sf-item.taobao.com/sf_item/1079704226065.htm</t>
  </si>
  <si>
    <t>盖山镇南社一路11号金辉澜林轩（二区）B-1#楼6层18商业</t>
  </si>
  <si>
    <t>https://sf-item.taobao.com/sf_item/1080758013881.htm</t>
  </si>
  <si>
    <t>长乐区</t>
  </si>
  <si>
    <t>吴航街道河阳楼13幢402单元及402杂物间</t>
  </si>
  <si>
    <t>河阳楼</t>
  </si>
  <si>
    <t>福州市长乐区人民法院</t>
  </si>
  <si>
    <t>https://sf-item.taobao.com/sf_item/1078833767355.htm</t>
  </si>
  <si>
    <t>松山镇松岐路1号罗源湾滨海新城罗吉苑9#楼2903单元</t>
  </si>
  <si>
    <t>户型：1室1厅</t>
  </si>
  <si>
    <t>https://sf-item.taobao.com/sf_item/1081763932216.htm</t>
  </si>
  <si>
    <t>海口镇岑兜村、洋坂村永鸿国际城小区（B区）11号楼301单元</t>
  </si>
  <si>
    <t>https://sf-item.taobao.com/sf_item/1079701658335.htm</t>
  </si>
  <si>
    <t>盖山镇南社一路11号金辉澜林轩（二区）B-1#楼6层19商业</t>
  </si>
  <si>
    <t>https://sf-item.taobao.com/sf_item/1078830915162.htm</t>
  </si>
  <si>
    <t>松山镇松岐路1号罗源湾滨海新城罗豪苑22#楼3102单元</t>
  </si>
  <si>
    <t>户型：3室2厅</t>
  </si>
  <si>
    <t>https://sf-item.taobao.com/sf_item/1080754841272.htm</t>
  </si>
  <si>
    <t>盖山镇南社一路11号金辉澜林轩（二区）B-1#楼6层16商业</t>
  </si>
  <si>
    <t>https://sf-item.taobao.com/sf_item/1081762084202.htm</t>
  </si>
  <si>
    <t>盖山镇南社一路11号金辉澜林轩（二区）B-1#楼6层03商业</t>
  </si>
  <si>
    <t>https://sf-item.taobao.com/sf_item/1079700294499.htm</t>
  </si>
  <si>
    <t>海口镇岑兜村、洋坂村永鸿国际城小区（B区）11号楼401单元</t>
  </si>
  <si>
    <t>https://sf-item.taobao.com/sf_item/1078830131092.htm</t>
  </si>
  <si>
    <t>海口镇岑兜村、洋坂村永鸿国际城小区（B区）8号楼401单元</t>
  </si>
  <si>
    <t>https://sf-item.taobao.com/sf_item/1079618914332.htm</t>
  </si>
  <si>
    <t>海口镇岑兜村、洋坂村永鸿国际城小区（B区）8号楼503单元</t>
  </si>
  <si>
    <t>https://sf-item.taobao.com/sf_item/1081679892813.htm</t>
  </si>
  <si>
    <t>凤山镇通海路85-2#楼-501单元</t>
  </si>
  <si>
    <t>通海路85-2#楼</t>
  </si>
  <si>
    <t>https://sf-item.taobao.com/sf_item/1080671981633.htm</t>
  </si>
  <si>
    <t>东升街道则徐大道270号金辉·莱茵城二期10#楼704复式单元</t>
  </si>
  <si>
    <t>金辉·莱茵城</t>
  </si>
  <si>
    <t>https://sf-item.taobao.com/sf_item/1081679728730.htm</t>
  </si>
  <si>
    <t>海口镇岑兜村、洋坂村永鸿国际城小区（B区）8号楼701单元</t>
  </si>
  <si>
    <t>https://sf-item.taobao.com/sf_item/1079615998556.htm</t>
  </si>
  <si>
    <t>海口镇岑兜村、洋坂村永鸿国际城小区（B区）8号楼501单元</t>
  </si>
  <si>
    <t>https://sf-item.taobao.com/sf_item/1080669149621.htm</t>
  </si>
  <si>
    <t>新店镇山北路381号奥林匹克花园二期D2地块D2-4#楼501单元</t>
  </si>
  <si>
    <t>奥林匹克花园二期</t>
  </si>
  <si>
    <t>https://sf-item.taobao.com/sf_item/1079615218686.htm</t>
  </si>
  <si>
    <t>海口镇岑兜村、洋坂村永鸿国际城小区（B区）1号楼701单元</t>
  </si>
  <si>
    <t>https://sf-item.taobao.com/sf_item/1079605518434.htm</t>
  </si>
  <si>
    <t>盖山镇南社一路11号金辉澜林轩（二区）B-1#楼6层02商业</t>
  </si>
  <si>
    <t>https://sf-item.taobao.com/sf_item/1078733563439.htm</t>
  </si>
  <si>
    <t>台江区</t>
  </si>
  <si>
    <t>洋中街道达文里新村6#楼405单元、406单元及7#楼1层7#、8#杂物间</t>
  </si>
  <si>
    <t>达文里</t>
  </si>
  <si>
    <t>https://sf-item.taobao.com/sf_item/1081664024787.htm</t>
  </si>
  <si>
    <t>南屿镇乌龙江南大道58号南屿滨江城（现：阳光城翡丽湾小区）49#楼2809单元</t>
  </si>
  <si>
    <t>南屿滨江城</t>
  </si>
  <si>
    <t>https://sf-item.taobao.com/sf_item/1079602218545.htm</t>
  </si>
  <si>
    <t>荆溪镇龙溪锦城安置房23号楼803单元房产</t>
  </si>
  <si>
    <t>龙溪锦城</t>
  </si>
  <si>
    <t>闽侯县人民法院</t>
  </si>
  <si>
    <t>https://sf-item.taobao.com/sf_item/1080655681136.htm</t>
  </si>
  <si>
    <t>马尾街道江滨东大道68号名城港湾二区5#地下室1层078车位</t>
  </si>
  <si>
    <t>https://sf-item.taobao.com/sf_item/1078730595983.htm</t>
  </si>
  <si>
    <t>荆溪镇龙溪锦城安置房5号楼802单元房产</t>
  </si>
  <si>
    <t>https://sf-item.taobao.com/sf_item/1079600906847.htm</t>
  </si>
  <si>
    <t>鼓山镇双溪路6号（原东山村）东山新苑（二期经济适用房、经济租赁房、廉租房）二区11#楼1701单元</t>
  </si>
  <si>
    <t>东山新苑</t>
  </si>
  <si>
    <t>https://sf-item.taobao.com/sf_item/1078717727259.htm</t>
  </si>
  <si>
    <t>甘蔗街道滨江西大道1号启航滨江国际（现：启航滨江花园）1#楼1008单元房产</t>
  </si>
  <si>
    <t>启航滨江花园</t>
  </si>
  <si>
    <t>https://sf-item.taobao.com/sf_item/1079587466206.htm</t>
  </si>
  <si>
    <t>龙山街道玉峰村、东刘村恒大城2-1号、2-2号楼502单元及恒大城首期地下室地下1层0081车位</t>
  </si>
  <si>
    <t>恒大城</t>
  </si>
  <si>
    <t>主住宅：174.15㎡；车位：25.72㎡。；户型：4室2厅</t>
  </si>
  <si>
    <t>https://sf-item.taobao.com/sf_item/1078716951313.htm</t>
  </si>
  <si>
    <t>龙山街道玉峰村、东刘村滨江正荣府小区B33号楼106复式单元及地下室C地下1层0829车位</t>
  </si>
  <si>
    <t>滨江正荣府</t>
  </si>
  <si>
    <t>主住宅：142.68㎡；车位：22.98㎡。</t>
  </si>
  <si>
    <t>https://sf-item.taobao.com/sf_item/1080640617482.htm</t>
  </si>
  <si>
    <t>金山街道闽江大道202号三迪·凯旋枫丹2#楼1504单元</t>
  </si>
  <si>
    <t>三迪·凯旋枫丹</t>
  </si>
  <si>
    <t>https://sf-item.taobao.com/sf_item/1081646284444.htm</t>
  </si>
  <si>
    <t>城门镇南江滨东大道366号三江城一期9#楼1603单元</t>
  </si>
  <si>
    <t>三江城一期</t>
  </si>
  <si>
    <t>https://sf-item.taobao.com/sf_item/1081645920927.htm</t>
  </si>
  <si>
    <t>长乐市湖南镇鹏程路99号牛山公寓（滨海星城）7幢501单元、502单元</t>
  </si>
  <si>
    <t>牛山公寓</t>
  </si>
  <si>
    <t>https://sf-item.taobao.com/sf_item/1079404194223.htm</t>
  </si>
  <si>
    <t>龙山街道玉塘村嘉鑫花园A7号楼01复式单元</t>
  </si>
  <si>
    <t>嘉鑫花园</t>
  </si>
  <si>
    <t>https://sf-item.taobao.com/sf_item/1079403718672.htm</t>
  </si>
  <si>
    <t>阳下街道弘祥.天璟小区2号楼2403单元</t>
  </si>
  <si>
    <t>天璟小区</t>
  </si>
  <si>
    <t>https://sf-item.taobao.com/sf_item/1078533783624.htm</t>
  </si>
  <si>
    <t>西航路海坛名街龙山花园1-1幢201室、202室</t>
  </si>
  <si>
    <t>龙山花园</t>
  </si>
  <si>
    <t>https://sf-item.taobao.com/sf_item/1079403550312.htm</t>
  </si>
  <si>
    <t>西航路海坛名街龙山花园1-2幢201室、202室</t>
  </si>
  <si>
    <t>https://sf-item.taobao.com/sf_item/1079403074912.htm</t>
  </si>
  <si>
    <t>石竹街道高仑村万润·海德1号3号楼2401单元</t>
  </si>
  <si>
    <t>万润·海德1号</t>
  </si>
  <si>
    <t>https://sf-item.taobao.com/sf_item/1078533387538.htm</t>
  </si>
  <si>
    <t>音西街道霞盛村景观豪庭4号楼802房</t>
  </si>
  <si>
    <t>景观豪庭</t>
  </si>
  <si>
    <t>https://sf-item.taobao.com/sf_item/1078533071730.htm</t>
  </si>
  <si>
    <t>潭城镇西航海坛名街龙山花园1幢5-201室、202室</t>
  </si>
  <si>
    <t>https://sf-item.taobao.com/sf_item/1078533123583.htm</t>
  </si>
  <si>
    <t>华大街道鼓屏路183号84#楼301单元</t>
  </si>
  <si>
    <t>鼓屏路183号84#楼</t>
  </si>
  <si>
    <t>https://sf-item.taobao.com/sf_item/1079401606275.htm</t>
  </si>
  <si>
    <t>华大街道琴湖二路100号亚侨花园A#楼402单元及A#楼1层26附属间</t>
  </si>
  <si>
    <t>亚侨花园</t>
  </si>
  <si>
    <t>主住宅：134.94㎡；附属间：9.39㎡。；户型：3室2厅</t>
  </si>
  <si>
    <t>https://sf-item.taobao.com/sf_item/1081448804555.htm</t>
  </si>
  <si>
    <t>岳峰镇三八路53号鹤林新城10#楼2802单元</t>
  </si>
  <si>
    <t>鹤林新城</t>
  </si>
  <si>
    <t>https://sf-item.taobao.com/sf_item/1079389478340.htm</t>
  </si>
  <si>
    <t>瀛洲街道江滨中大道116号君临闽江公寓（原君临闽江）4#楼303单元</t>
  </si>
  <si>
    <t>君临闽江公寓</t>
  </si>
  <si>
    <t>https://sf-item.taobao.com/sf_item/1079388026988.htm</t>
  </si>
  <si>
    <t>上海街道兰花路2号万科花园（万科广场A地块）9#楼603单元及兰花路10号万科花园（万科广场A地块）地下室地下三层086车位</t>
  </si>
  <si>
    <t>万科花园</t>
  </si>
  <si>
    <t>主住宅：161.12㎡；车位：32.49㎡。；户型：3室2厅</t>
  </si>
  <si>
    <t>https://sf-item.taobao.com/sf_item/1081438744759.htm</t>
  </si>
  <si>
    <t>南屿镇乌龙江南大道89号顺华世纪鸥洲A-9#楼1205单元</t>
  </si>
  <si>
    <t>顺华世纪鸥洲</t>
  </si>
  <si>
    <t>https://sf-item.taobao.com/sf_item/1081438700827.htm</t>
  </si>
  <si>
    <t>竹岐乡竹西村张厝66号福州恒大悦珑湾2017-06地块（现：恒大悦珑湾小区）13#及S3#楼407单元</t>
  </si>
  <si>
    <t>恒大悦珑湾</t>
  </si>
  <si>
    <t>广州市越秀区人民法院</t>
  </si>
  <si>
    <t>户型：4室2厅</t>
  </si>
  <si>
    <t>https://sf-item.taobao.com/sf_item/1078508979545.htm</t>
  </si>
  <si>
    <t>凤城镇玉荷西路18幢601单元及1层5附属间</t>
  </si>
  <si>
    <t>玉荷西路18幢</t>
  </si>
  <si>
    <t>连江县人民法院</t>
  </si>
  <si>
    <t>https://sf-item.taobao.com/sf_item/1081436920369.htm</t>
  </si>
  <si>
    <t>永鸿国际城小区（B区）地下室C地下1层921车位</t>
  </si>
  <si>
    <t>https://sf-item.taobao.com/sf_item/1079366326482.htm</t>
  </si>
  <si>
    <t>永鸿国际城小区（B区）地下室C地下1层803车位</t>
  </si>
  <si>
    <t>https://sf-item.taobao.com/sf_item/1078496471764.htm</t>
  </si>
  <si>
    <t>永鸿国际城小区（B区）地下室C地下1层664车位</t>
  </si>
  <si>
    <t>https://sf-item.taobao.com/sf_item/1080416213605.htm</t>
  </si>
  <si>
    <t>永鸿国际城小区（B区）地下室C地下1层801车位</t>
  </si>
  <si>
    <t>https://sf-item.taobao.com/sf_item/1078495947504.htm</t>
  </si>
  <si>
    <t>永鸿国际城小区（B区）地下室C地下1层649车位</t>
  </si>
  <si>
    <t>https://sf-item.taobao.com/sf_item/1079365614242.htm</t>
  </si>
  <si>
    <t>永鸿国际城小区（B区）地下室C地下1层656车位</t>
  </si>
  <si>
    <t>https://sf-item.taobao.com/sf_item/1079364554386.htm</t>
  </si>
  <si>
    <t>永鸿国际城小区（B区）地下室C地下1层708车位</t>
  </si>
  <si>
    <t>https://sf-item.taobao.com/sf_item/1079365106360.htm</t>
  </si>
  <si>
    <t>永鸿国际城小区（B区）地下室C地下1层934车位</t>
  </si>
  <si>
    <t>https://sf-item.taobao.com/sf_item/1078495255005.htm</t>
  </si>
  <si>
    <t>永鸿国际城小区（B区）地下室C地下1层665车位</t>
  </si>
  <si>
    <t>https://sf-item.taobao.com/sf_item/1080415009027.htm</t>
  </si>
  <si>
    <t>永鸿国际城小区（B区）地下室C地下1层922车位</t>
  </si>
  <si>
    <t>https://sf-item.taobao.com/sf_item/1081422584204.htm</t>
  </si>
  <si>
    <t>永鸿国际城小区（B区）地下室C地下1层685车位</t>
  </si>
  <si>
    <t>https://sf-item.taobao.com/sf_item/1081421552300.htm</t>
  </si>
  <si>
    <t>永鸿国际城小区（B区）地下室C地下1层938车位</t>
  </si>
  <si>
    <t>https://sf-item.taobao.com/sf_item/1078492835104.htm</t>
  </si>
  <si>
    <t>永鸿国际城小区（B区）地下室C地下1层706车位</t>
  </si>
  <si>
    <t>https://sf-item.taobao.com/sf_item/1081421248610.htm</t>
  </si>
  <si>
    <t>凤山镇南洋路1号南洋花园住宅区12#楼2106单元</t>
  </si>
  <si>
    <t>南洋花园</t>
  </si>
  <si>
    <t>https://sf-item.taobao.com/sf_item/1080350945960.htm</t>
  </si>
  <si>
    <t>凤山镇南洋路1号南洋花园住宅区12#楼1706单元</t>
  </si>
  <si>
    <t>https://sf-item.taobao.com/sf_item/1081360400310.htm</t>
  </si>
  <si>
    <t>凤山镇南洋路1号南洋花园住宅区12#楼2409单元</t>
  </si>
  <si>
    <t>https://sf-item.taobao.com/sf_item/1079300958503.htm</t>
  </si>
  <si>
    <t>永鸿国际城小区（B区）地下室B地下1层573车位</t>
  </si>
  <si>
    <t>https://sf-item.taobao.com/sf_item/1081359856927.htm</t>
  </si>
  <si>
    <t>凤山镇南洋路1号南洋花园住宅区12#楼806单元</t>
  </si>
  <si>
    <t>https://sf-item.taobao.com/sf_item/1081360092343.htm</t>
  </si>
  <si>
    <t>永鸿国际城小区（B区）地下室B地下1层557车位</t>
  </si>
  <si>
    <t>https://sf-item.taobao.com/sf_item/1081359972332.htm</t>
  </si>
  <si>
    <t>凤山镇南洋路1号南洋花园住宅区12#楼805单元</t>
  </si>
  <si>
    <t>https://sf-item.taobao.com/sf_item/1079300038965.htm</t>
  </si>
  <si>
    <t>凤山镇南洋路1号南洋花园住宅区12# 楼1406单元</t>
  </si>
  <si>
    <t>https://sf-item.taobao.com/sf_item/1081359704515.htm</t>
  </si>
  <si>
    <t>宏路街道上郑村金辉华府17号楼801单元及金辉华府（一期）地下室地下2层0551车位</t>
  </si>
  <si>
    <t>金辉华府</t>
  </si>
  <si>
    <t>https://sf-item.taobao.com/sf_item/1081359444834.htm</t>
  </si>
  <si>
    <t>海口镇官下尾19-42地号整座</t>
  </si>
  <si>
    <t>官下尾141号</t>
  </si>
  <si>
    <t>户型：8室3厅</t>
  </si>
  <si>
    <t>https://sf-item.taobao.com/sf_item/1079299794976.htm</t>
  </si>
  <si>
    <t>永鸿国际城小区（B区）地下室B地下1层555车位</t>
  </si>
  <si>
    <t>https://sf-item.taobao.com/sf_item/1080349929941.htm</t>
  </si>
  <si>
    <t>凤山镇南洋路1号南洋花园住宅区12#楼1609单元</t>
  </si>
  <si>
    <t>https://sf-item.taobao.com/sf_item/1079300334064.htm</t>
  </si>
  <si>
    <t>凤山镇南洋路1号南洋花园住宅区12#楼2406单元</t>
  </si>
  <si>
    <t>https://sf-item.taobao.com/sf_item/1081359412059.htm</t>
  </si>
  <si>
    <t>茶园街道华林路366号隆盛小区1#楼A区904单元、905单元</t>
  </si>
  <si>
    <t>隆盛小区</t>
  </si>
  <si>
    <t>https://sf-item.taobao.com/sf_item/1079299010375.htm</t>
  </si>
  <si>
    <t>永鸿国际城小区（B区）地下室B地下1层574车位</t>
  </si>
  <si>
    <t>https://sf-item.taobao.com/sf_item/1081357884606.htm</t>
  </si>
  <si>
    <t>凤山镇南洋路1号南洋花园住宅区12#楼1705单元</t>
  </si>
  <si>
    <t>https://sf-item.taobao.com/sf_item/1080348537506.htm</t>
  </si>
  <si>
    <t>松山镇禹步路2号润福佳园6#楼1802单元</t>
  </si>
  <si>
    <t>润福佳园</t>
  </si>
  <si>
    <t>https://sf-item.taobao.com/sf_item/1079298562189.htm</t>
  </si>
  <si>
    <t>新店镇西园村东浦电建路50号1层303#附属间、303单元</t>
  </si>
  <si>
    <t>东浦电建路50号</t>
  </si>
  <si>
    <t>https://sf-item.taobao.com/sf_item/1079289166731.htm</t>
  </si>
  <si>
    <t>海口镇岑兜村、洋坂村永鸿国际城小区（B区）地下室A地下1层236车位</t>
  </si>
  <si>
    <t>https://sf-item.taobao.com/sf_item/1081348324640.htm</t>
  </si>
  <si>
    <t>海口镇岑兜村、洋坂村永鸿国际城小区（B区）地下室A地下1层211车位</t>
  </si>
  <si>
    <t>https://sf-item.taobao.com/sf_item/1081347812675.htm</t>
  </si>
  <si>
    <t>永鸿国际城小区（B区）地下室B地下1层460车位</t>
  </si>
  <si>
    <t>https://sf-item.taobao.com/sf_item/1078419659360.htm</t>
  </si>
  <si>
    <t>海口镇岑兜村、洋坂村永鸿国际城小区（B区）地下室A地下1层133车位</t>
  </si>
  <si>
    <t>https://sf-item.taobao.com/sf_item/1079288562105.htm</t>
  </si>
  <si>
    <t>永鸿国际城小区（B区）地下室B地下1层462车位</t>
  </si>
  <si>
    <t>https://sf-item.taobao.com/sf_item/1081346560685.htm</t>
  </si>
  <si>
    <t>海口镇岑兜村、洋坂村永鸿国际城小区（B区）地下室A地下1层067车位</t>
  </si>
  <si>
    <t>https://sf-item.taobao.com/sf_item/1080337465286.htm</t>
  </si>
  <si>
    <t>海口镇岑兜村、洋坂村永鸿国际城小区（B区）地下室A地下1层250车位</t>
  </si>
  <si>
    <t>https://sf-item.taobao.com/sf_item/1080334773258.htm</t>
  </si>
  <si>
    <t>海口镇岑兜村、洋坂村永鸿国际城小区（B区）地下室A地下1层100车位</t>
  </si>
  <si>
    <t>https://sf-item.taobao.com/sf_item/1079284298468.htm</t>
  </si>
  <si>
    <t>海口镇岑兜村、洋坂村永鸿国际城小区（B区）地下室A地下1层214车位</t>
  </si>
  <si>
    <t>https://sf-item.taobao.com/sf_item/1081342980442.htm</t>
  </si>
  <si>
    <t>泉州市</t>
  </si>
  <si>
    <t>永春县</t>
  </si>
  <si>
    <t>址在永春县五里街镇桃源北路二期安置房地下室车B24的车位</t>
  </si>
  <si>
    <t>址在永春县五里</t>
  </si>
  <si>
    <t>永春县人民法院</t>
  </si>
  <si>
    <t>未找到</t>
  </si>
  <si>
    <t>需打开网页评估报告提取面积</t>
  </si>
  <si>
    <t>https://sf-item.taobao.com/sf_item/1081767480202.htm</t>
  </si>
  <si>
    <t>址在永春县五里街镇桃源北路二期安置房地下室车B5的车位</t>
  </si>
  <si>
    <t>https://sf-item.taobao.com/sf_item/1079704530396.htm</t>
  </si>
  <si>
    <t>址在永春县五里街镇桃源北路二期安置房地下室车B20的车位</t>
  </si>
  <si>
    <t>https://sf-item.taobao.com/sf_item/1078834003769.htm</t>
  </si>
  <si>
    <t>址在永春县五里街镇桃源北路二期安置房地下室车B21的车位</t>
  </si>
  <si>
    <t>https://sf-item.taobao.com/sf_item/1080757689855.htm</t>
  </si>
  <si>
    <t>址在永春县五里街镇桃源北路二期安置房地下室车B9的车位</t>
  </si>
  <si>
    <t>https://sf-item.taobao.com/sf_item/1079703910092.htm</t>
  </si>
  <si>
    <t>址在永春县五里街镇桃源北路二期安置房地下室车B36的车位</t>
  </si>
  <si>
    <t>https://sf-item.taobao.com/sf_item/1079701266578.htm</t>
  </si>
  <si>
    <t>址在永春县五里街镇桃源北路二期安置房地下室车B17的车位</t>
  </si>
  <si>
    <t>https://sf-item.taobao.com/sf_item/1079701034545.htm</t>
  </si>
  <si>
    <t>址在永春县五里街镇桃源北路二期安置房地下室车B6的车位</t>
  </si>
  <si>
    <t>https://sf-item.taobao.com/sf_item/1078830755885.htm</t>
  </si>
  <si>
    <t>址在永春县五里街镇桃源北路二期安置房地下室车B4的车位</t>
  </si>
  <si>
    <t>https://sf-item.taobao.com/sf_item/1081762608792.htm</t>
  </si>
  <si>
    <t>石狮市</t>
  </si>
  <si>
    <t>永宁镇沙堤十二区3号海悦湾1幢2107室</t>
  </si>
  <si>
    <t>海悦湾</t>
  </si>
  <si>
    <t>泉州市丰泽区人民法院</t>
  </si>
  <si>
    <t>https://sf-item.taobao.com/sf_item/1079700826239.htm</t>
  </si>
  <si>
    <t>址在永春县五里街镇桃源北路二期安置房地下室车B10的车位</t>
  </si>
  <si>
    <t>https://sf-item.taobao.com/sf_item/1080754117683.htm</t>
  </si>
  <si>
    <t>址在永春县五里街镇桃源北路二期安置房地下室车B22的车位</t>
  </si>
  <si>
    <t>https://sf-item.taobao.com/sf_item/1079700434193.htm</t>
  </si>
  <si>
    <t>址在永春县五里街镇桃源北路二期安置房地下室车B3的车位</t>
  </si>
  <si>
    <t>https://sf-item.taobao.com/sf_item/1079699670867.htm</t>
  </si>
  <si>
    <t>南安市</t>
  </si>
  <si>
    <t>柳城办事处金街社区新新家园（罗马家园）10号楼22层2203室的房产</t>
  </si>
  <si>
    <t>新新家园（罗马家园）</t>
  </si>
  <si>
    <t>南安市人民法院</t>
  </si>
  <si>
    <t>https://sf-item.taobao.com/sf_item/1080753833219.htm</t>
  </si>
  <si>
    <t>址在永春县五里街镇桃源北路二期安置房地下室车A75的车位</t>
  </si>
  <si>
    <t>https://sf-item.taobao.com/sf_item/1081749240621.htm</t>
  </si>
  <si>
    <t>址在永春县五里街镇桃源北路二期安置房地下室车A74的车位</t>
  </si>
  <si>
    <t>https://sf-item.taobao.com/sf_item/1078817115702.htm</t>
  </si>
  <si>
    <t>址在永春县五里街镇桃源北路二期安置房地下室车A78的车位</t>
  </si>
  <si>
    <t>https://sf-item.taobao.com/sf_item/1080740985486.htm</t>
  </si>
  <si>
    <t>址在永春县五里街镇桃源北路二期安置房地下室车A62的车位</t>
  </si>
  <si>
    <t>https://sf-item.taobao.com/sf_item/1081748544888.htm</t>
  </si>
  <si>
    <t>址在永春县五里街镇桃源北路二期安置房地下室车A63的车位</t>
  </si>
  <si>
    <t>https://sf-item.taobao.com/sf_item/1079686654624.htm</t>
  </si>
  <si>
    <t>址在永春县五里街镇桃源北路二期安置房地下室车A76的车位</t>
  </si>
  <si>
    <t>https://sf-item.taobao.com/sf_item/1079686306918.htm</t>
  </si>
  <si>
    <t>址在永春县五里街镇桃源北路二期安置房地下室车A60的车位</t>
  </si>
  <si>
    <t>https://sf-item.taobao.com/sf_item/1079686194782.htm</t>
  </si>
  <si>
    <t>址在永春县五里街镇桃源北路二期安置房地下室车A61的车位</t>
  </si>
  <si>
    <t>https://sf-item.taobao.com/sf_item/1078815723483.htm</t>
  </si>
  <si>
    <t>址在永春县五里街镇桃源北路二期安置房地下室车A68的车位</t>
  </si>
  <si>
    <t>https://sf-item.taobao.com/sf_item/1078815171605.htm</t>
  </si>
  <si>
    <t>址在永春县五里街镇桃源北路二期安置房地下室车A58的车位</t>
  </si>
  <si>
    <t>https://sf-item.taobao.com/sf_item/1079685134129.htm</t>
  </si>
  <si>
    <t>址在永春县五里街镇桃源北路二期安置房地下室车A69的车位</t>
  </si>
  <si>
    <t>https://sf-item.taobao.com/sf_item/1079684230332.htm</t>
  </si>
  <si>
    <t>址在永春县五里街镇桃源北路二期安置房地下室车A77的车位</t>
  </si>
  <si>
    <t>https://sf-item.taobao.com/sf_item/1080737713882.htm</t>
  </si>
  <si>
    <t>址在永春县五里街镇桃源北路二期安置房地下室车A71的车位</t>
  </si>
  <si>
    <t>https://sf-item.taobao.com/sf_item/1080737953731.htm</t>
  </si>
  <si>
    <t>址在永春县五里街镇桃源北路二期安置房地下室车A66的车位</t>
  </si>
  <si>
    <t>https://sf-item.taobao.com/sf_item/1078813707575.htm</t>
  </si>
  <si>
    <t>址在永春县五里街镇桃源北路二期安置房地下室车A70的车位</t>
  </si>
  <si>
    <t>https://sf-item.taobao.com/sf_item/1080737409865.htm</t>
  </si>
  <si>
    <t>址在永春县五里街镇桃源北路二期安置房地下室车A59的车位</t>
  </si>
  <si>
    <t>https://sf-item.taobao.com/sf_item/1079683382829.htm</t>
  </si>
  <si>
    <t>址在永春县五里街镇桃源北路二期安置房地下室车A67的车位</t>
  </si>
  <si>
    <t>https://sf-item.taobao.com/sf_item/1078813147353.htm</t>
  </si>
  <si>
    <t>址在永春县五里街镇桃源北路二期安置房地下室车A64的车位</t>
  </si>
  <si>
    <t>https://sf-item.taobao.com/sf_item/1080736829724.htm</t>
  </si>
  <si>
    <t>址在永春县五里街镇桃源北路二期安置房地下室车A65的车位</t>
  </si>
  <si>
    <t>https://sf-item.taobao.com/sf_item/1079682526591.htm</t>
  </si>
  <si>
    <t>址在永春县五里街镇桃源北路二期安置房地下室车A80的车位</t>
  </si>
  <si>
    <t>https://sf-item.taobao.com/sf_item/1080726501153.htm</t>
  </si>
  <si>
    <t>德化县</t>
  </si>
  <si>
    <t>龙浔镇裕正·城市花园1幢1层102、1-7幢-1层店面-113号商业房地产</t>
  </si>
  <si>
    <t>裕正·城</t>
  </si>
  <si>
    <t>德化县人民法院</t>
  </si>
  <si>
    <t>https://sf-item.taobao.com/sf_item/1079672250370.htm</t>
  </si>
  <si>
    <t>址在永春县五里街镇桃源北路二期安置房地下室车A81的车位</t>
  </si>
  <si>
    <t>https://sf-item.taobao.com/sf_item/1080726021095.htm</t>
  </si>
  <si>
    <t>址在永春县五里街镇桃源北路二期安置房地下室车A83的车位</t>
  </si>
  <si>
    <t>https://sf-item.taobao.com/sf_item/1078798327465.htm</t>
  </si>
  <si>
    <t>址在永春县五里街镇桃源北路二期安置房地下室车A82的车位</t>
  </si>
  <si>
    <t>https://sf-item.taobao.com/sf_item/1079668178716.htm</t>
  </si>
  <si>
    <t>址在永春县五里街镇桃源北路二期安置房地下室车A92的车位</t>
  </si>
  <si>
    <t>https://sf-item.taobao.com/sf_item/1078755243341.htm</t>
  </si>
  <si>
    <t>址在永春县五里街镇桃源北路二期安置房地下室车A84的车位</t>
  </si>
  <si>
    <t>https://sf-item.taobao.com/sf_item/1080679313413.htm</t>
  </si>
  <si>
    <t>址在永春县五里街镇桃源北路二期安置房地下室车A89的车位</t>
  </si>
  <si>
    <t>https://sf-item.taobao.com/sf_item/1079626018127.htm</t>
  </si>
  <si>
    <t>址在永春县五里街镇桃源北路二期安置房地下室车A91的车位</t>
  </si>
  <si>
    <t>https://sf-item.taobao.com/sf_item/1080679517125.htm</t>
  </si>
  <si>
    <t>址在永春县五里街镇桃源北路二期安置房地下室车A87的车位</t>
  </si>
  <si>
    <t>https://sf-item.taobao.com/sf_item/1081687136877.htm</t>
  </si>
  <si>
    <t>址在永春县五里街镇桃源北路二期安置房地下室车A85的车位</t>
  </si>
  <si>
    <t>https://sf-item.taobao.com/sf_item/1080679065631.htm</t>
  </si>
  <si>
    <t>址在永春县五里街镇桃源北路二期安置房地下室车A88的车位</t>
  </si>
  <si>
    <t>https://sf-item.taobao.com/sf_item/1081687084823.htm</t>
  </si>
  <si>
    <t>址在永春县五里街镇桃源北路二期安置房地下室车A86的车位</t>
  </si>
  <si>
    <t>https://sf-item.taobao.com/sf_item/1078754291906.htm</t>
  </si>
  <si>
    <t>址在永春县五里街镇桃源北路二期安置房地下室车A90的车位</t>
  </si>
  <si>
    <t>https://sf-item.taobao.com/sf_item/1080679297072.htm</t>
  </si>
  <si>
    <t>址在永春县五里街镇桃源北路二期安置房地下室车A113的车位</t>
  </si>
  <si>
    <t>https://sf-item.taobao.com/sf_item/1080672221340.htm</t>
  </si>
  <si>
    <t>址在永春县五里街镇桃源北路二期安置房地下室车A112的车位</t>
  </si>
  <si>
    <t>https://sf-item.taobao.com/sf_item/1080672377101.htm</t>
  </si>
  <si>
    <t>安溪县</t>
  </si>
  <si>
    <t>凤城镇兴安路555号福佳广场3#2703住宅</t>
  </si>
  <si>
    <t>福佳广场</t>
  </si>
  <si>
    <t>上杭县人民法院</t>
  </si>
  <si>
    <t>https://sf-item.taobao.com/sf_item/1081680592152.htm</t>
  </si>
  <si>
    <t>址在永春县五里街镇桃源北路二期安置房地下室车A114的车位</t>
  </si>
  <si>
    <t>https://sf-item.taobao.com/sf_item/1079618622477.htm</t>
  </si>
  <si>
    <t>址在永春县五里街镇桃源北路二期安置房地下室车A109的车位</t>
  </si>
  <si>
    <t>https://sf-item.taobao.com/sf_item/1078746771700.htm</t>
  </si>
  <si>
    <t>凤城镇中山街313-351号鸿业华庭227店面</t>
  </si>
  <si>
    <t>鸿业华庭</t>
  </si>
  <si>
    <t>数据疑似有误：起拍单价约1元/㎡，超出500—100000元/㎡常规核验区间</t>
  </si>
  <si>
    <t>https://sf-item.taobao.com/sf_item/1081678216280.htm</t>
  </si>
  <si>
    <t>址在永春县五里街镇桃源北路二期安置房地下室车A99的车位</t>
  </si>
  <si>
    <t>https://sf-item.taobao.com/sf_item/1081666912007.htm</t>
  </si>
  <si>
    <t>址在永春县五里街镇桃源北路二期安置房地下室车A95的车位</t>
  </si>
  <si>
    <t>https://sf-item.taobao.com/sf_item/1080658349645.htm</t>
  </si>
  <si>
    <t>址在永春县五里街镇桃源北路二期安置房地下室车A107的车位</t>
  </si>
  <si>
    <t>https://sf-item.taobao.com/sf_item/1080658141751.htm</t>
  </si>
  <si>
    <t>址在永春县五里街镇桃源北路二期安置房地下室车A100的车位</t>
  </si>
  <si>
    <t>https://sf-item.taobao.com/sf_item/1079604654522.htm</t>
  </si>
  <si>
    <t>址在永春县五里街镇桃源北路二期安置房地下室车A106的车位</t>
  </si>
  <si>
    <t>https://sf-item.taobao.com/sf_item/1081665316512.htm</t>
  </si>
  <si>
    <t>址在永春县五里街镇桃源北路二期安置房地下室车A98的车位</t>
  </si>
  <si>
    <t>https://sf-item.taobao.com/sf_item/1078731311934.htm</t>
  </si>
  <si>
    <t>址在永春县五里街镇桃源北路二期安置房地下室车A108的车位</t>
  </si>
  <si>
    <t>https://sf-item.taobao.com/sf_item/1079601922554.htm</t>
  </si>
  <si>
    <t>官桥镇西环路102号时华公馆（华尔顿·Q空间）2号楼29层2903室的房产</t>
  </si>
  <si>
    <t>时华公馆</t>
  </si>
  <si>
    <t>https://sf-item.taobao.com/sf_item/1079602022222.htm</t>
  </si>
  <si>
    <t>址在永春县五里街镇桃源北路二期安置房地下室车A105的车位</t>
  </si>
  <si>
    <t>https://sf-item.taobao.com/sf_item/1080655205513.htm</t>
  </si>
  <si>
    <t>址在永春县五里街镇桃源北路二期安置房地下室车A103的车位</t>
  </si>
  <si>
    <t>https://sf-item.taobao.com/sf_item/1078730347779.htm</t>
  </si>
  <si>
    <t>豪德路160号濠江丽景1号楼D梯202室房地产</t>
  </si>
  <si>
    <t>濠江丽景</t>
  </si>
  <si>
    <t>石狮市人民法院</t>
  </si>
  <si>
    <t>https://sf-item.taobao.com/sf_item/1081649532055.htm</t>
  </si>
  <si>
    <t>址在永春县五里街镇桃源北路二期安置房地下室车A38的车位</t>
  </si>
  <si>
    <t>https://sf-item.taobao.com/sf_item/1081649096278.htm</t>
  </si>
  <si>
    <t>址在永春县五里街镇桃源北路二期安置房地下室车A45的车位</t>
  </si>
  <si>
    <t>https://sf-item.taobao.com/sf_item/1081648436467.htm</t>
  </si>
  <si>
    <t>石龙路288号世茂摩天城梅森会所不动产</t>
  </si>
  <si>
    <t>世茂摩天城</t>
  </si>
  <si>
    <t>江苏省南京市中级人民法院</t>
  </si>
  <si>
    <t>https://sf-item.taobao.com/sf_item/1080640757100.htm</t>
  </si>
  <si>
    <t>址在永春县五里街镇桃源北路二期安置房地下室车A52的车位</t>
  </si>
  <si>
    <t>https://sf-item.taobao.com/sf_item/1080640653159.htm</t>
  </si>
  <si>
    <t>址在永春县五里街镇桃源北路二期安置房地下室车A42的车位</t>
  </si>
  <si>
    <t>https://sf-item.taobao.com/sf_item/1080639361374.htm</t>
  </si>
  <si>
    <t>永泰县</t>
  </si>
  <si>
    <t>城峰镇汤洋村上山院7号不动产</t>
  </si>
  <si>
    <t>数据疑似有误：商业面积为94436.56㎡，超过10000㎡</t>
  </si>
  <si>
    <t>https://sf-item.taobao.com/sf_item/1079585218762.htm</t>
  </si>
  <si>
    <t>址在永春县五里街镇桃源北路二期安置房地下室车A54的车位</t>
  </si>
  <si>
    <t>https://sf-item.taobao.com/sf_item/1080638453637.htm</t>
  </si>
  <si>
    <t>石龙路288号世茂摩天城北5号楼1跃4层、石狮市石龙路288号世茂摩天城北5号楼地下一层不动产</t>
  </si>
  <si>
    <t>数据疑似有误：商业面积为16765.86㎡，超过10000㎡</t>
  </si>
  <si>
    <t>https://sf-item.taobao.com/sf_item/1079584754723.htm</t>
  </si>
  <si>
    <t>址在永春县五里街镇桃源北路二期安置房地下室车A50的车位</t>
  </si>
  <si>
    <t>https://sf-item.taobao.com/sf_item/1078714939061.htm</t>
  </si>
  <si>
    <t>址在永春县五里街镇桃源北路二期安置房地下室车A37的车位</t>
  </si>
  <si>
    <t>https://sf-item.taobao.com/sf_item/1078714259723.htm</t>
  </si>
  <si>
    <t>址在永春县五里街镇桃源北路二期安置房地下室车A53的车位</t>
  </si>
  <si>
    <t>https://sf-item.taobao.com/sf_item/1080638265453.htm</t>
  </si>
  <si>
    <t>址在永春县五里街镇桃源北路二期安置房地下室车A49的车位</t>
  </si>
  <si>
    <t>https://sf-item.taobao.com/sf_item/1080637957685.htm</t>
  </si>
  <si>
    <t>址在永春县五里街镇桃源北路二期安置房地下室车A94的车位</t>
  </si>
  <si>
    <t>https://sf-item.taobao.com/sf_item/1079584370874.htm</t>
  </si>
  <si>
    <t>官桥镇莲湖路1号明发商业城6号楼7层702室的房产</t>
  </si>
  <si>
    <t>明发商业城</t>
  </si>
  <si>
    <t>https://sf-item.taobao.com/sf_item/1079584638168.htm</t>
  </si>
  <si>
    <t>址在永春县五里街镇桃源北路二期安置房地下室车A36的车位</t>
  </si>
  <si>
    <t>https://sf-item.taobao.com/sf_item/1078714419143.htm</t>
  </si>
  <si>
    <t>址在永春县五里街镇桃源北路二期安置房地下室车A51的车位</t>
  </si>
  <si>
    <t>https://sf-item.taobao.com/sf_item/1078714375004.htm</t>
  </si>
  <si>
    <t>址在永春县五里街镇桃源北路二期安置房地下室车A44的车位</t>
  </si>
  <si>
    <t>https://sf-item.taobao.com/sf_item/1081646052132.htm</t>
  </si>
  <si>
    <t>址在永春县五里街镇桃源北路二期安置房地下室车A93的车位</t>
  </si>
  <si>
    <t>https://sf-item.taobao.com/sf_item/1081645896369.htm</t>
  </si>
  <si>
    <t>址在永春县五里街镇桃源北路二期安置房地下室车A55的车位</t>
  </si>
  <si>
    <t>https://sf-item.taobao.com/sf_item/1079584238030.htm</t>
  </si>
  <si>
    <t>址在永春县五里街镇桃源北路二期安置房地下室车A56的车位</t>
  </si>
  <si>
    <t>https://sf-item.taobao.com/sf_item/1080637689264.htm</t>
  </si>
  <si>
    <t>址在永春县五里街镇桃源北路二期安置房地下室车A57的车位</t>
  </si>
  <si>
    <t>https://sf-item.taobao.com/sf_item/1080637501516.htm</t>
  </si>
  <si>
    <t>址在永春县五里街镇桃源北路二期安置房地下室车A48的车位</t>
  </si>
  <si>
    <t>https://sf-item.taobao.com/sf_item/1080637121997.htm</t>
  </si>
  <si>
    <t>址在永春县五里街镇桃源北路二期安置房地下室车A31的车位</t>
  </si>
  <si>
    <t>https://sf-item.taobao.com/sf_item/1081634760018.htm</t>
  </si>
  <si>
    <t>址在永春县五里街镇桃源北路二期安置房地下室车A35的车位</t>
  </si>
  <si>
    <t>https://sf-item.taobao.com/sf_item/1080625501931.htm</t>
  </si>
  <si>
    <t>址在永春县五里街镇桃源北路二期安置房地下室车A29的车位</t>
  </si>
  <si>
    <t>https://sf-item.taobao.com/sf_item/1079571686446.htm</t>
  </si>
  <si>
    <t>址在永春县五里街镇桃源北路二期安置房地下室车A32的车位</t>
  </si>
  <si>
    <t>https://sf-item.taobao.com/sf_item/1078701255775.htm</t>
  </si>
  <si>
    <t>址在永春县五里街镇桃源北路二期安置房地下室车A34的车位</t>
  </si>
  <si>
    <t>https://sf-item.taobao.com/sf_item/1079571014842.htm</t>
  </si>
  <si>
    <t>址在永春县五里街镇桃源北路二期安置房地下室车A27的车位</t>
  </si>
  <si>
    <t>https://sf-item.taobao.com/sf_item/1078579679474.htm</t>
  </si>
  <si>
    <t>址在永春县五里街镇桃源北路二期安置房地下室车A22的车位</t>
  </si>
  <si>
    <t>https://sf-item.taobao.com/sf_item/1079448978933.htm</t>
  </si>
  <si>
    <t>址在永春县五里街镇桃源北路二期安置房地下室车A17的车位</t>
  </si>
  <si>
    <t>https://sf-item.taobao.com/sf_item/1079449254842.htm</t>
  </si>
  <si>
    <t>址在永春县五里街镇桃源北路二期安置房地下室车A21的车位</t>
  </si>
  <si>
    <t>https://sf-item.taobao.com/sf_item/1080500801836.htm</t>
  </si>
  <si>
    <t>址在永春县五里街镇桃源北路二期安置房地下室车A24的车位</t>
  </si>
  <si>
    <t>https://sf-item.taobao.com/sf_item/1080501205187.htm</t>
  </si>
  <si>
    <t>丰泽区</t>
  </si>
  <si>
    <t>丰泽街与刺桐路交叉口福新花园城地下车位F-67</t>
  </si>
  <si>
    <t>福新花园城</t>
  </si>
  <si>
    <t>https://sf-item.taobao.com/sf_item/1079403934656.htm</t>
  </si>
  <si>
    <t>丰泽商城步行商业街一楼A1-8、A1-9及A1-39、A1-40</t>
  </si>
  <si>
    <t>丰泽商城</t>
  </si>
  <si>
    <t>https://sf-item.taobao.com/sf_item/1078533631909.htm</t>
  </si>
  <si>
    <t>晋江市</t>
  </si>
  <si>
    <t>紫帽镇霞茂村晋江世茂紫帽山G2013-42号地块（紫溪苑）3幢702室 精选资产</t>
  </si>
  <si>
    <t>紫溪苑</t>
  </si>
  <si>
    <t>https://sf-item.taobao.com/sf_item/1078533459169.htm</t>
  </si>
  <si>
    <t>刺桐东路与津淮街交叉口东北侧群盛国际华城1#楼810</t>
  </si>
  <si>
    <t>群盛国际华城</t>
  </si>
  <si>
    <t>https://sf-item.taobao.com/sf_item/1078533127333.htm</t>
  </si>
  <si>
    <t>刺桐路718号煌华商业大厦3幢701室及煌华商业大厦3幢C44室储藏间</t>
  </si>
  <si>
    <t>煌华商业大厦</t>
  </si>
  <si>
    <t>https://sf-item.taobao.com/sf_item/1080452509086.htm</t>
  </si>
  <si>
    <t>址在永春县五里街镇桃源北路二期安置房地下室车B173的车位</t>
  </si>
  <si>
    <t>https://sf-item.taobao.com/sf_item/1081360600248.htm</t>
  </si>
  <si>
    <t>址在永春县五里街镇桃源北路二期安置房地下室车B163的车位</t>
  </si>
  <si>
    <t>https://sf-item.taobao.com/sf_item/1081360448403.htm</t>
  </si>
  <si>
    <t>址在永春县五里街镇桃源北路二期安置房地下室车A02的车位</t>
  </si>
  <si>
    <t>https://sf-item.taobao.com/sf_item/1079301130325.htm</t>
  </si>
  <si>
    <t>址在永春县五里街镇桃源北路二期安置房地下室车B165的车位</t>
  </si>
  <si>
    <t>https://sf-item.taobao.com/sf_item/1080351113188.htm</t>
  </si>
  <si>
    <t>址在永春县五里街镇桃源北路二期安置房地下室车B160的车位</t>
  </si>
  <si>
    <t>https://sf-item.taobao.com/sf_item/1079300874535.htm</t>
  </si>
  <si>
    <t>址在永春县五里街镇桃源北路二期安置房地下室车A04的车位</t>
  </si>
  <si>
    <t>https://sf-item.taobao.com/sf_item/1080350741861.htm</t>
  </si>
  <si>
    <t>址在永春县五里街镇桃源北路二期安置房地下室车B162的车位</t>
  </si>
  <si>
    <t>https://sf-item.taobao.com/sf_item/1079300826290.htm</t>
  </si>
  <si>
    <t>址在永春县五里街镇桃源北路二期安置房地下室车A01的车位</t>
  </si>
  <si>
    <t>https://sf-item.taobao.com/sf_item/1081359960624.htm</t>
  </si>
  <si>
    <t>址在永春县五里街镇桃源北路二期安置房地下室车A16的车位</t>
  </si>
  <si>
    <t>https://sf-item.taobao.com/sf_item/1078431579165.htm</t>
  </si>
  <si>
    <t>址在永春县五里街镇桃源北路二期安置房地下室车B172的车位</t>
  </si>
  <si>
    <t>https://sf-item.taobao.com/sf_item/1079300326911.htm</t>
  </si>
  <si>
    <t>址在永春县五里街镇桃源北路二期安置房地下室车B171的车位</t>
  </si>
  <si>
    <t>https://sf-item.taobao.com/sf_item/1079300482285.htm</t>
  </si>
  <si>
    <t>址在永春县五里街镇桃源北路二期安置房地下室车B161的车位</t>
  </si>
  <si>
    <t>https://sf-item.taobao.com/sf_item/1080350705056.htm</t>
  </si>
  <si>
    <t>址在永春县五里街镇桃源北路二期安置房地下室车B174的车位</t>
  </si>
  <si>
    <t>https://sf-item.taobao.com/sf_item/1080350201757.htm</t>
  </si>
  <si>
    <t>址在永春县五里街镇桃源北路二期安置房地下室车B159的车位</t>
  </si>
  <si>
    <t>https://sf-item.taobao.com/sf_item/1080350261467.htm</t>
  </si>
  <si>
    <t>址在永春县五里街镇桃源北路二期安置房地下室车A11的车位</t>
  </si>
  <si>
    <t>https://sf-item.taobao.com/sf_item/1078430271647.htm</t>
  </si>
  <si>
    <t>址在永春县五里街镇桃源北路二期安置房地下室车B169的车位</t>
  </si>
  <si>
    <t>https://sf-item.taobao.com/sf_item/1078429427935.htm</t>
  </si>
  <si>
    <t>址在永春县五里街镇桃源北路二期安置房地下室车B164的车位</t>
  </si>
  <si>
    <t>https://sf-item.taobao.com/sf_item/1080348981180.htm</t>
  </si>
  <si>
    <t>址在永春县五里街镇桃源北路二期安置房地下室车A03的车位</t>
  </si>
  <si>
    <t>https://sf-item.taobao.com/sf_item/1078429215833.htm</t>
  </si>
  <si>
    <t>址在永春县五里街镇桃源北路二期安置房地下室车A14的车位</t>
  </si>
  <si>
    <t>https://sf-item.taobao.com/sf_item/1080348225865.htm</t>
  </si>
  <si>
    <t>址在永春县五里街镇桃源北路二期安置房地下室车B166的车位</t>
  </si>
  <si>
    <t>https://sf-item.taobao.com/sf_item/1080348457386.htm</t>
  </si>
  <si>
    <t>址在永春县五里街镇桃源北路二期安置房地下室车A05的车位</t>
  </si>
  <si>
    <t>https://sf-item.taobao.com/sf_item/1081357440674.htm</t>
  </si>
  <si>
    <t>址在永春县五里街镇桃源北路二期安置房地下室车B168的车位</t>
  </si>
  <si>
    <t>https://sf-item.taobao.com/sf_item/1081357284732.htm</t>
  </si>
  <si>
    <t>址在永春县五里街镇桃源北路二期安置房地下室车B170的车位</t>
  </si>
  <si>
    <t>https://sf-item.taobao.com/sf_item/1081356984987.htm</t>
  </si>
  <si>
    <t>址在永春县五里街镇桃源北路二期安置房地下室车A124的车位</t>
  </si>
  <si>
    <t>https://sf-item.taobao.com/sf_item/1081348428354.htm</t>
  </si>
  <si>
    <t>址在永春县五里街镇桃源北路二期安置房地下室车B157的车位</t>
  </si>
  <si>
    <t>https://sf-item.taobao.com/sf_item/1080339077545.htm</t>
  </si>
  <si>
    <t>址在永春县五里街镇桃源北路二期安置房地下室车A126的车位</t>
  </si>
  <si>
    <t>https://sf-item.taobao.com/sf_item/1078420027377.htm</t>
  </si>
  <si>
    <t>址在永春县五里街镇桃源北路二期安置房地下室车B138的车位</t>
  </si>
  <si>
    <t>https://sf-item.taobao.com/sf_item/1079288578352.htm</t>
  </si>
  <si>
    <t>址在永春县五里街镇桃源北路二期安置房地下室车B140的车位</t>
  </si>
  <si>
    <t>https://sf-item.taobao.com/sf_item/1080338545336.htm</t>
  </si>
  <si>
    <t>鲤城区</t>
  </si>
  <si>
    <t>江滨南路2255号珑璟湾27幢2307室及室内部分家具家电</t>
  </si>
  <si>
    <t>珑璟湾</t>
  </si>
  <si>
    <t>泉州市鲤城区人民法院</t>
  </si>
  <si>
    <t>https://sf-item.taobao.com/sf_item/1081347548261.htm</t>
  </si>
  <si>
    <t>址在永春县五里街镇桃源北路二期安置房地下室车B131的车位</t>
  </si>
  <si>
    <t>https://sf-item.taobao.com/sf_item/1079287866903.htm</t>
  </si>
  <si>
    <t>址在永春县五里街镇桃源北路二期安置房地下室车B146的车位</t>
  </si>
  <si>
    <t>https://sf-item.taobao.com/sf_item/1078419047574.htm</t>
  </si>
  <si>
    <t>址在永春县五里街镇桃源北路二期安置房地下室车B153的车位</t>
  </si>
  <si>
    <t>https://sf-item.taobao.com/sf_item/1080337489897.htm</t>
  </si>
  <si>
    <t>址在永春县五里街镇桃源北路二期安置房地下室车A125的车位</t>
  </si>
  <si>
    <t>https://sf-item.taobao.com/sf_item/1078418839945.htm</t>
  </si>
  <si>
    <t>址在永春县石鼓镇桃场社区及桃联社区永春宝龙城市广场一期4#1801的不动产</t>
  </si>
  <si>
    <t>永春宝龙城市广场</t>
  </si>
  <si>
    <t>https://sf-item.taobao.com/sf_item/1081346716933.htm</t>
  </si>
  <si>
    <t>址在永春县五里街镇桃源北路二期安置房地下室车B135的车位</t>
  </si>
  <si>
    <t>https://sf-item.taobao.com/sf_item/1081346776728.htm</t>
  </si>
  <si>
    <t>址在永春县五里街镇桃源北路二期安置房地下室车B128的车位</t>
  </si>
  <si>
    <t>https://sf-item.taobao.com/sf_item/1080337913411.htm</t>
  </si>
  <si>
    <t>址在永春县五里街镇桃源北路二期安置房地下室车B129的车位</t>
  </si>
  <si>
    <t>https://sf-item.taobao.com/sf_item/1080338133049.htm</t>
  </si>
  <si>
    <t>址在永春县五里街镇桃源北路二期安置房地下室车B126的车位</t>
  </si>
  <si>
    <t>https://sf-item.taobao.com/sf_item/1078419107356.htm</t>
  </si>
  <si>
    <t>址在永春县五里街镇桃源北路二期安置房地下室车B143的车位</t>
  </si>
  <si>
    <t>https://sf-item.taobao.com/sf_item/1080337785352.htm</t>
  </si>
  <si>
    <t>址在永春县五里街镇桃源北路二期安置房地下室车A118的车位</t>
  </si>
  <si>
    <t>https://sf-item.taobao.com/sf_item/1078418759530.htm</t>
  </si>
  <si>
    <t>八七路南侧百宏·御璟天下A区H1幢1302单元房地产</t>
  </si>
  <si>
    <t>百宏·御璟天下</t>
  </si>
  <si>
    <t>https://sf-item.taobao.com/sf_item/1081346572702.htm</t>
  </si>
  <si>
    <t>址在永春县五里街镇桃源北路二期安置房地下室车B144的车位</t>
  </si>
  <si>
    <t>https://sf-item.taobao.com/sf_item/1081346908151.htm</t>
  </si>
  <si>
    <t>址在永春县五里街镇桃源北路二期安置房地下室车A117的车位</t>
  </si>
  <si>
    <t>https://sf-item.taobao.com/sf_item/1081346756302.htm</t>
  </si>
  <si>
    <t>址在永春县五里街镇桃源北路二期安置房地下室车B149的车位</t>
  </si>
  <si>
    <t>https://sf-item.taobao.com/sf_item/1081346548821.htm</t>
  </si>
  <si>
    <t>址在永春县五里街镇桃源北路二期安置房地下室车B158的车位</t>
  </si>
  <si>
    <t>https://sf-item.taobao.com/sf_item/1080337233662.htm</t>
  </si>
  <si>
    <t>址在永春县五里街镇桃源北路二期安置房地下室车B151的车位</t>
  </si>
  <si>
    <t>https://sf-item.taobao.com/sf_item/1081346660139.htm</t>
  </si>
  <si>
    <t>址在永春县五里街镇桃源北路二期安置房地下室车B137的车位</t>
  </si>
  <si>
    <t>https://sf-item.taobao.com/sf_item/1080337173184.htm</t>
  </si>
  <si>
    <t>址在永春县下洋镇新村村1组的不动产</t>
  </si>
  <si>
    <t>新村村1组</t>
  </si>
  <si>
    <t>https://sf-item.taobao.com/sf_item/1081346136570.htm</t>
  </si>
  <si>
    <t>址在永春县五里街镇桃源北路二期安置房地下室车B150的车位</t>
  </si>
  <si>
    <t>https://sf-item.taobao.com/sf_item/1078417615830.htm</t>
  </si>
  <si>
    <t>址在永春县五里街镇桃源北路二期安置房地下室车B125的车位</t>
  </si>
  <si>
    <t>https://sf-item.taobao.com/sf_item/1080335057156.htm</t>
  </si>
  <si>
    <t>址在永春县五里街镇桃源北路二期安置房地下室车B134的车位</t>
  </si>
  <si>
    <t>https://sf-item.taobao.com/sf_item/1079285274007.htm</t>
  </si>
  <si>
    <t>址在永春县五里街镇桃源北路二期安置房地下室车B141的车位</t>
  </si>
  <si>
    <t>https://sf-item.taobao.com/sf_item/1080334485713.htm</t>
  </si>
  <si>
    <t>址在永春县五里街镇桃源北路二期安置房地下室车B175的车位</t>
  </si>
  <si>
    <t>https://sf-item.taobao.com/sf_item/1079284574877.htm</t>
  </si>
  <si>
    <t>址在永春县五里街镇桃源北路二期安置房地下室车B176的车位</t>
  </si>
  <si>
    <t>https://sf-item.taobao.com/sf_item/1081343884431.htm</t>
  </si>
  <si>
    <t>址在永春县五里街镇桃源北路二期安置房地下室车B127的车位</t>
  </si>
  <si>
    <t>https://sf-item.taobao.com/sf_item/1081343852463.htm</t>
  </si>
  <si>
    <t>址在永春县五里街镇桃源北路二期安置房地下室车B132的车位</t>
  </si>
  <si>
    <t>https://sf-item.taobao.com/sf_item/1078415351948.htm</t>
  </si>
  <si>
    <t>址在永春县五里街镇桃源北路二期安置房地下室车A116的车位</t>
  </si>
  <si>
    <t>https://sf-item.taobao.com/sf_item/1079284682182.htm</t>
  </si>
  <si>
    <t>址在永春县五里街镇桃源北路二期安置房地下室车B142的车位</t>
  </si>
  <si>
    <t>https://sf-item.taobao.com/sf_item/1080334305264.htm</t>
  </si>
  <si>
    <t>址在永春县五里街镇桃源北路二期安置房地下室车B154的车位</t>
  </si>
  <si>
    <t>https://sf-item.taobao.com/sf_item/1080334141681.htm</t>
  </si>
  <si>
    <t>址在永春县五里街镇桃源北路二期安置房地下室车B155的车位</t>
  </si>
  <si>
    <t>https://sf-item.taobao.com/sf_item/1078415711379.htm</t>
  </si>
  <si>
    <t>址在永春县五里街镇桃源北路二期安置房地下室车B118的车位</t>
  </si>
  <si>
    <t>https://sf-item.taobao.com/sf_item/1080333829967.htm</t>
  </si>
  <si>
    <t>址在永春县五里街镇桃源北路二期安置房地下室车B119的车位</t>
  </si>
  <si>
    <t>https://sf-item.taobao.com/sf_item/1080333745819.htm</t>
  </si>
  <si>
    <t>址在永春县五里街镇桃源北路二期安置房地下室车A115的车位</t>
  </si>
  <si>
    <t>https://sf-item.taobao.com/sf_item/1081343368538.htm</t>
  </si>
  <si>
    <t>址在永春县五里街镇桃源北路二期安置房地下室车B148的车位</t>
  </si>
  <si>
    <t>https://sf-item.taobao.com/sf_item/1078415327421.htm</t>
  </si>
  <si>
    <t>址在丰泽区泉秀街北侧中远名城6号楼803的房产</t>
  </si>
  <si>
    <t>中远名城</t>
  </si>
  <si>
    <t>https://sf-item.taobao.com/sf_item/1078415191593.htm</t>
  </si>
  <si>
    <t>址在永春县五里街镇桃源北路二期安置房地下室车B120的车位</t>
  </si>
  <si>
    <t>https://sf-item.taobao.com/sf_item/1079283718944.htm</t>
  </si>
  <si>
    <t>址在永春县五里街镇桃源北路二期安置房地下室车B139的车位</t>
  </si>
  <si>
    <t>https://sf-item.taobao.com/sf_item/1081343008516.htm</t>
  </si>
  <si>
    <t>址在永春县五里街镇桃源北路二期安置房地下室车B136的车位</t>
  </si>
  <si>
    <t>https://sf-item.taobao.com/sf_item/1081343052388.htm</t>
  </si>
  <si>
    <t>址在永春县五里街镇桃源北路二期安置房地下室车B145的车位</t>
  </si>
  <si>
    <t>https://sf-item.taobao.com/sf_item/1081343320021.htm</t>
  </si>
  <si>
    <t>址在永春县五里街镇桃源北路二期安置房地下室车B152的车位</t>
  </si>
  <si>
    <t>https://sf-item.taobao.com/sf_item/1081342528807.htm</t>
  </si>
  <si>
    <t>址在永春县五里街镇桃源北路二期安置房地下室车B156的车位</t>
  </si>
  <si>
    <t>https://sf-item.taobao.com/sf_item/1079283582608.htm</t>
  </si>
  <si>
    <t>址在永春县五里街镇桃源北路二期安置房地下室车B147的车位</t>
  </si>
  <si>
    <t>https://sf-item.taobao.com/sf_item/1081342616656.htm</t>
  </si>
  <si>
    <t>址在永春县五里街镇桃源北路二期安置房地下室车B133的车位</t>
  </si>
  <si>
    <t>https://sf-item.taobao.com/sf_item/1080333089791.htm</t>
  </si>
  <si>
    <t>址在永春县五里街镇桃源北路二期安置房地下室车B130的车位</t>
  </si>
  <si>
    <t>https://sf-item.taobao.com/sf_item/1078414199718.htm</t>
  </si>
  <si>
    <t>洛江区</t>
  </si>
  <si>
    <t>址于泉州市洛江区罗溪镇双柏镇36号豪景花苑2栋2梯1004室</t>
  </si>
  <si>
    <t>豪景花苑</t>
  </si>
  <si>
    <t>泉州市洛江区人民法院</t>
  </si>
  <si>
    <t>https://paimai.jd.com/311218670</t>
  </si>
  <si>
    <t>址于晋江市池店镇兴霞路百捷中央公园C区3#-601室住宅</t>
  </si>
  <si>
    <t>百捷·中央公园</t>
  </si>
  <si>
    <t>https://paimai.jd.com/311218651</t>
  </si>
  <si>
    <t>址于泉州市洛江区双阳街道祥光花苑四、五期5#楼1005住宅</t>
  </si>
  <si>
    <t>祥光花苑</t>
  </si>
  <si>
    <t>https://paimai.jd.com/311218641</t>
  </si>
  <si>
    <t>址于泉州市鲤城区温陵北路333号铭湖花苑2幢2梯804室</t>
  </si>
  <si>
    <t>铭湖花苑</t>
  </si>
  <si>
    <t>https://paimai.jd.com/311218636</t>
  </si>
  <si>
    <t>址于泉州市洛江区万安街道后埭社区、杏宅社区荣嘉江滨公馆6号楼1806住宅</t>
  </si>
  <si>
    <t>荣嘉江滨公馆</t>
  </si>
  <si>
    <t>https://paimai.jd.com/311218620</t>
  </si>
  <si>
    <t>新华北路邮电小区东南侧西湖豪苑A段403房产</t>
  </si>
  <si>
    <t>西湖豪苑</t>
  </si>
  <si>
    <t>https://paimai.jd.com/311216968</t>
  </si>
  <si>
    <t>灵源街道英塘社区灵石东路1号阳光城6期C-3幢405的不动产</t>
  </si>
  <si>
    <t>阳光城</t>
  </si>
  <si>
    <t>福建省泉州市中级人民法院</t>
  </si>
  <si>
    <t>https://paimai.jd.com/311216821</t>
  </si>
  <si>
    <t>城东街道庄任社区海城花苑4、5号楼4-3204的房产</t>
  </si>
  <si>
    <t>海城花苑</t>
  </si>
  <si>
    <t>https://paimai.jd.com/311215642</t>
  </si>
  <si>
    <t>罗山街道梧桐社区许坑社区力高君樽花园2幢201号</t>
  </si>
  <si>
    <t>力高君樽花园</t>
  </si>
  <si>
    <t>遵义市播州区人民法院</t>
  </si>
  <si>
    <t>https://paimai.jd.com/311214389</t>
  </si>
  <si>
    <t>新塘街道新塘园区世茂云城8幢302号</t>
  </si>
  <si>
    <t>世茂云城</t>
  </si>
  <si>
    <t>https://paimai.jd.com/311214259</t>
  </si>
  <si>
    <t>池店镇泉安北路1128号万科·金域滨江三期10幢1901</t>
  </si>
  <si>
    <t>万科金域滨江</t>
  </si>
  <si>
    <t>https://paimai.jd.com/311207147</t>
  </si>
  <si>
    <t>金井镇新区万祥·滨海新城-和祥苑10幢2602不动产</t>
  </si>
  <si>
    <t>万祥·滨海新城</t>
  </si>
  <si>
    <t>苏州市吴中区人民法院</t>
  </si>
  <si>
    <t>https://paimai.jd.com/311205635</t>
  </si>
  <si>
    <t>北厝镇顺意路1号平潭海峡如意城G005地块一期10#06商铺</t>
  </si>
  <si>
    <t>https://paimai.jd.com/311219365</t>
  </si>
  <si>
    <t>北厝镇顺意路1号平潭海峡如意城G005地块一期10#05商铺</t>
  </si>
  <si>
    <t>https://paimai.jd.com/311219273</t>
  </si>
  <si>
    <t>甘蔗街道滨江西大道88号领海三期2#楼124商业（复式）</t>
  </si>
  <si>
    <t>https://paimai.jd.com/311207207</t>
  </si>
  <si>
    <t>荆溪镇永丰社区文山里185号H#楼三层办公</t>
  </si>
  <si>
    <t>文山里</t>
  </si>
  <si>
    <t>https://paimai.jd.com/311202670</t>
  </si>
  <si>
    <t>成交金额</t>
  </si>
  <si>
    <t>溢价率</t>
  </si>
  <si>
    <t>成交单价</t>
  </si>
  <si>
    <t>竞买记录</t>
  </si>
  <si>
    <t>报名人数</t>
  </si>
  <si>
    <t>上海街道交通支路7号上海新苑C-5#楼3702单元</t>
  </si>
  <si>
    <t>上海新苑</t>
  </si>
  <si>
    <t>是</t>
  </si>
  <si>
    <t>https://paimai.jd.com/311038381</t>
  </si>
  <si>
    <t>茶园街道茶峰路38号茶园新苑（福州北站改扩建工程安置地D地块（安置房））13#楼1811单元</t>
  </si>
  <si>
    <t>茶园新苑</t>
  </si>
  <si>
    <t>https://paimai.jd.com/311032656</t>
  </si>
  <si>
    <t>茶园街道茶峰路38号茶园新苑（福州北站改扩建工程安置地D地块（安置房））2#楼805单元</t>
  </si>
  <si>
    <t>待核验</t>
  </si>
  <si>
    <t>未找到评估报告</t>
  </si>
  <si>
    <t>https://paimai.jd.com/311027092</t>
  </si>
  <si>
    <t>洪山镇梅兰路9号仁文·大儒世家1#楼101单元</t>
  </si>
  <si>
    <t>仁文·大儒世家</t>
  </si>
  <si>
    <t>https://paimai.jd.com/311024088</t>
  </si>
  <si>
    <t>建新镇金港路136号橡树湾26#楼507单元</t>
  </si>
  <si>
    <t>橡树湾</t>
  </si>
  <si>
    <t>https://paimai.jd.com/311024089</t>
  </si>
  <si>
    <t>城门镇龙江路100号禹洲天悦湾花园（东方威尼斯三期（E南地块））E3#楼305单元住宅房</t>
  </si>
  <si>
    <t>禹洲天悦湾花园</t>
  </si>
  <si>
    <t>https://paimai.jd.com/311090917</t>
  </si>
  <si>
    <t>青阳街道世纪大道518号宝龙广场国际公馆1幢1203住宅</t>
  </si>
  <si>
    <t>宝龙广场国际公馆</t>
  </si>
  <si>
    <t>晋江市人民法院</t>
  </si>
  <si>
    <t>https://paimai.jd.com/311119721</t>
  </si>
  <si>
    <t>青阳街道世纪大道518号宝龙广场国际公馆1幢1204住宅</t>
  </si>
  <si>
    <t>https://paimai.jd.com/311119733</t>
  </si>
  <si>
    <t>梅岭街道长兴路裕福康城CD幢1602住宅</t>
  </si>
  <si>
    <t>裕福康城</t>
  </si>
  <si>
    <t>https://paimai.jd.com/311119501</t>
  </si>
  <si>
    <t>罗东镇维新村湖滨南苑一期A区6号楼3层301室的房产</t>
  </si>
  <si>
    <t>湖滨南苑</t>
  </si>
  <si>
    <t>https://paimai.jd.com/311044116</t>
  </si>
  <si>
    <t>航城街道航辉社区香江路1号香江国际4幢2901、2902单元及3幢-4幢地下140号车位 精选资产</t>
  </si>
  <si>
    <t>https://sf-item.taobao.com/sf_item/1077224100364.htm</t>
  </si>
  <si>
    <t>潘渡乡沿江大道1号贵安新天地贵府苑15幢701单元</t>
  </si>
  <si>
    <t>贵安新天地贵府苑</t>
  </si>
  <si>
    <t>https://sf-item.taobao.com/sf_item/1067611807923.htm</t>
  </si>
  <si>
    <t>鼓山镇洋里路23号六一佳园（绕城高速6#安置地）3#楼2204单元</t>
  </si>
  <si>
    <t>https://sf-item.taobao.com/sf_item/1074066327104.htm</t>
  </si>
  <si>
    <t>南通镇鑫洲路3号春江天玺花园5#楼208单元</t>
  </si>
  <si>
    <t>春江天玺花园</t>
  </si>
  <si>
    <t>https://sf-item.taobao.com/sf_item/1070524293592.htm</t>
  </si>
  <si>
    <t>港头镇高东村北厝143号围墙内的土地使用权及地上建筑物</t>
  </si>
  <si>
    <t>高东村北厝143号</t>
  </si>
  <si>
    <t>https://sf-item.taobao.com/sf_item/1072969072983.htm</t>
  </si>
  <si>
    <t>闽清县</t>
  </si>
  <si>
    <t>坂东镇坂中路1号六都华侨城1#楼1602单元</t>
  </si>
  <si>
    <t>六都华侨城</t>
  </si>
  <si>
    <t>闽清县人民法院</t>
  </si>
  <si>
    <t>https://sf-item.taobao.com/sf_item/1073964595385.htm</t>
  </si>
  <si>
    <t>坂东镇坂中路1号六都华侨城5#楼701单元</t>
  </si>
  <si>
    <t>户型：4室1厅</t>
  </si>
  <si>
    <t>https://sf-item.taobao.com/sf_item/1074810462971.htm</t>
  </si>
  <si>
    <t>城门镇浦道支路26号永南佳园（福厦铁路4#安置地）15#楼907单元</t>
  </si>
  <si>
    <t>永南佳园</t>
  </si>
  <si>
    <t>https://sf-item.taobao.com/sf_item/1072729439142.htm</t>
  </si>
  <si>
    <t>金山街道凤冈路788号葛屿新苑1#楼1101单元</t>
  </si>
  <si>
    <t>葛屿新苑</t>
  </si>
  <si>
    <t>https://sf-item.taobao.com/sf_item/1067438974767.htm</t>
  </si>
  <si>
    <t>建新镇福湾路916号福湾新城秋月苑2#楼101单元</t>
  </si>
  <si>
    <t>福湾新城秋月苑</t>
  </si>
  <si>
    <t>https://sf-item.taobao.com/sf_item/1073573450974.htm</t>
  </si>
  <si>
    <t>南通镇福通路66号天泽奥特莱斯城市广场3#楼1802单元房产</t>
  </si>
  <si>
    <t>天泽奥特莱斯城市广场</t>
  </si>
  <si>
    <t>https://sf-item.taobao.com/sf_item/1070508141652.htm</t>
  </si>
  <si>
    <t>金山街道凤冈路788号葛屿新苑7#楼1003单元</t>
  </si>
  <si>
    <t>https://sf-item.taobao.com/sf_item/1066618779667.htm</t>
  </si>
  <si>
    <t>城门镇南江滨东大道366号三江城一期9#楼2304单元</t>
  </si>
  <si>
    <t>https://sf-item.taobao.com/sf_item/1073571314023.htm</t>
  </si>
  <si>
    <t>凤城镇玉荷西路533号江山豪庭13幢3房 精选资产</t>
  </si>
  <si>
    <t>江山豪庭</t>
  </si>
  <si>
    <t>https://sf-item.taobao.com/sf_item/1054900859819.htm</t>
  </si>
  <si>
    <t>宦溪镇鹅鼻村188号云上鼓岭商务中心（鹅鼻商务中心）35#楼1层01商务办公</t>
  </si>
  <si>
    <t>云上鼓岭商务中心</t>
  </si>
  <si>
    <t>https://sf-item.taobao.com/sf_item/1067493687169.htm</t>
  </si>
  <si>
    <t>建新镇闽江大道169号水乡温泉住宅区二期65#楼住宅二层整层,住宅一层整层房产</t>
  </si>
  <si>
    <t>水乡温泉住宅区二期</t>
  </si>
  <si>
    <t>https://sf-item.taobao.com/sf_item/1071499968999.htm</t>
  </si>
  <si>
    <t>池店镇华洲村华东路86号百捷·中央公园A区11幢1322室及室内部分家具家电</t>
  </si>
  <si>
    <t>https://sf-item.taobao.com/sf_item/1071078254298.htm</t>
  </si>
  <si>
    <t>址在永春县桃城镇桃东北街（县物资公司宿舍楼2-402）的房产</t>
  </si>
  <si>
    <t>县物资公司宿舍楼</t>
  </si>
  <si>
    <t>https://sf-item.taobao.com/sf_item/1070844797096.htm</t>
  </si>
  <si>
    <t>泉秀街181号恒祥大厦1502室</t>
  </si>
  <si>
    <t>恒祥大厦</t>
  </si>
  <si>
    <t>https://sf-item.taobao.com/sf_item/1067288875111.htm</t>
  </si>
  <si>
    <t>罗山街道罗裳裳景388号罗裳华苑1幢1205住宅</t>
  </si>
  <si>
    <t>罗裳华苑</t>
  </si>
  <si>
    <t>https://sf-item.taobao.com/sf_item/1075066430617.htm</t>
  </si>
  <si>
    <t>址在永春县桃城镇北门街92号的房产</t>
  </si>
  <si>
    <t>https://sf-item.taobao.com/sf_item/1073200298425.htm</t>
  </si>
  <si>
    <t>凤城镇河滨西路68号北石公馆305室房产</t>
  </si>
  <si>
    <t>北石公馆</t>
  </si>
  <si>
    <t>安溪县人民法院</t>
  </si>
  <si>
    <t>https://sf-item.taobao.com/sf_item/1068592259228.htm</t>
  </si>
  <si>
    <t>五四北路琴亭花园3#楼（兰花阁）801单元、1层07附属间</t>
  </si>
  <si>
    <t>琴亭花园</t>
  </si>
  <si>
    <t>否</t>
  </si>
  <si>
    <t>https://paimai.jd.com/311038481</t>
  </si>
  <si>
    <t>西洪路312号20#楼603单元</t>
  </si>
  <si>
    <t>西洪路312号</t>
  </si>
  <si>
    <t>https://paimai.jd.com/311038347</t>
  </si>
  <si>
    <t>建新镇高宅路183号金山桔园三期（浦新小区）1#楼505单元</t>
  </si>
  <si>
    <t>金山桔园三期（浦新小区）</t>
  </si>
  <si>
    <t>https://paimai.jd.com/311038391</t>
  </si>
  <si>
    <t>建新镇金河路136号金山碧水西区舒柳苑4#楼604复式单元</t>
  </si>
  <si>
    <t>金山碧水西区舒柳苑</t>
  </si>
  <si>
    <t>https://paimai.jd.com/311038233</t>
  </si>
  <si>
    <t>君山镇大中村大中1号潭中佳苑一组团5#3003室</t>
  </si>
  <si>
    <t>潭中佳苑</t>
  </si>
  <si>
    <t>https://paimai.jd.com/311124261</t>
  </si>
  <si>
    <t>五凤街道西二环路158号金泉公寓8#楼605单元、2层31附属间</t>
  </si>
  <si>
    <t>金泉公寓</t>
  </si>
  <si>
    <t>https://paimai.jd.com/311113863</t>
  </si>
  <si>
    <t>福州闽侯县南屿镇乌龙江大道79号信通国际中心A地块1#楼10层1002号办公室</t>
  </si>
  <si>
    <t>信通国际中心</t>
  </si>
  <si>
    <t>柳州市鱼峰区人民法院</t>
  </si>
  <si>
    <t>https://sf-item.taobao.com/sf_item/1057750175975.htm</t>
  </si>
  <si>
    <t>上迳镇下井村香樟湖6号楼07复式单元</t>
  </si>
  <si>
    <t>香樟湖</t>
  </si>
  <si>
    <t>https://sf-item.taobao.com/sf_item/1057980355250.htm</t>
  </si>
  <si>
    <t>营前街道港南路9号长乐阳光城碧桂园御景湾1#楼2602单元及地下室24车位</t>
  </si>
  <si>
    <t>长乐阳光城碧桂园御景湾</t>
  </si>
  <si>
    <t>主住宅：84.75㎡；车位：26.19㎡。</t>
  </si>
  <si>
    <t>https://sf-item.taobao.com/sf_item/1059987349635.htm</t>
  </si>
  <si>
    <t>城门镇胪雷路8号阳光环站新城（四区）（4#地块）9#楼101复式单元</t>
  </si>
  <si>
    <t>阳光环站新城（四区）</t>
  </si>
  <si>
    <t>https://sf-item.taobao.com/sf_item/1069122423980.htm</t>
  </si>
  <si>
    <t>金山街道上雁路56号金山碧水三期冬馨苑17#楼501复式单元</t>
  </si>
  <si>
    <t>金山碧水三期冬馨苑</t>
  </si>
  <si>
    <t>福州市马尾区人民法院</t>
  </si>
  <si>
    <t>https://sf-item.taobao.com/sf_item/1069124167411.htm</t>
  </si>
  <si>
    <t>新店镇南平东路151号建发北湖苑（二区）地下室地下1层260车位</t>
  </si>
  <si>
    <t>建发北湖苑</t>
  </si>
  <si>
    <t>郑州高新技术产业开发区人民法院</t>
  </si>
  <si>
    <t>https://sf-item.taobao.com/sf_item/1070229643904.htm</t>
  </si>
  <si>
    <t>马尾镇江滨东大道68号名城港湾二区15#楼1406单元</t>
  </si>
  <si>
    <t>https://sf-item.taobao.com/sf_item/1071157372560.htm</t>
  </si>
  <si>
    <t>潭城镇万宝东路北侧万宝嘉园（康德世家三期）37幢603室 精选资产</t>
  </si>
  <si>
    <t>康德世家三期</t>
  </si>
  <si>
    <t>https://sf-item.taobao.com/sf_item/1071488568828.htm</t>
  </si>
  <si>
    <t>城门镇福峡路76号世纪·蓝景城16#楼401复式单元房产</t>
  </si>
  <si>
    <t>世纪·蓝景城</t>
  </si>
  <si>
    <t>https://sf-item.taobao.com/sf_item/1072030068262.htm</t>
  </si>
  <si>
    <t>凤山镇妈祖新村6#楼404室.附属间</t>
  </si>
  <si>
    <t>妈祖新村</t>
  </si>
  <si>
    <t>https://sf-item.taobao.com/sf_item/1074334831466.htm</t>
  </si>
  <si>
    <t>潭城镇红山居委会荷花庄52号</t>
  </si>
  <si>
    <t>荷花庄52号</t>
  </si>
  <si>
    <t>https://sf-item.taobao.com/sf_item/1074503455233.htm</t>
  </si>
  <si>
    <t>琅岐镇芦沙路2号三盛盛欣苑（福州未来城（二期））20#楼801单元</t>
  </si>
  <si>
    <t>福州未来城（二期）</t>
  </si>
  <si>
    <t>https://sf-item.taobao.com/sf_item/1075751344541.htm</t>
  </si>
  <si>
    <t>瀛洲街道排尾路229号联邦广场1#楼711单元</t>
  </si>
  <si>
    <t>联邦广场</t>
  </si>
  <si>
    <t>https://sf-item.taobao.com/sf_item/1075965445209.htm</t>
  </si>
  <si>
    <t>潘渡镇沿江大道1号贵安新天地写字楼3幢206室</t>
  </si>
  <si>
    <t>贵安新天地</t>
  </si>
  <si>
    <t>https://sf-item.taobao.com/sf_item/1055149539865.htm</t>
  </si>
  <si>
    <t>潘渡镇沿江大道1号贵安新天地写字楼3幢203室</t>
  </si>
  <si>
    <t>https://sf-item.taobao.com/sf_item/1055928078153.htm</t>
  </si>
  <si>
    <t>潘渡镇沿江大道1号贵安新天地写字楼3幢210室</t>
  </si>
  <si>
    <t>https://sf-item.taobao.com/sf_item/1055928266075.htm</t>
  </si>
  <si>
    <t>潘渡镇沿江大道1号贵安新天地写字楼3幢209室</t>
  </si>
  <si>
    <t>https://sf-item.taobao.com/sf_item/1057841660076.htm</t>
  </si>
  <si>
    <t>中楼乡大中村大中1号潭中佳苑五组团26#楼3107室</t>
  </si>
  <si>
    <t>潭中佳苑五组团</t>
  </si>
  <si>
    <t>https://sf-item.taobao.com/sf_item/1068935047720.htm</t>
  </si>
  <si>
    <t>平潭综合实验区</t>
  </si>
  <si>
    <t>东万路和岚城八路交叉口东北侧中辉紫御府6#SY1#1508</t>
  </si>
  <si>
    <t>中辉紫御府</t>
  </si>
  <si>
    <t>https://sf-item.taobao.com/sf_item/1069196647896.htm</t>
  </si>
  <si>
    <t>中楼乡大中村大中1号潭中佳苑四组团18#楼2702室</t>
  </si>
  <si>
    <t>潭中佳苑四组团</t>
  </si>
  <si>
    <t>https://sf-item.taobao.com/sf_item/1069198935332.htm</t>
  </si>
  <si>
    <t>上街镇新保路28号福州正荣财富中心A1地块3#楼3层315办公及316办公</t>
  </si>
  <si>
    <t>福州正荣财富中心</t>
  </si>
  <si>
    <t>https://sf-item.taobao.com/sf_item/1069455701931.htm</t>
  </si>
  <si>
    <t>五凤街道丞相路52号五凤兰庭21#楼707复式单元</t>
  </si>
  <si>
    <t>五凤兰庭</t>
  </si>
  <si>
    <t>https://sf-item.taobao.com/sf_item/1073949667017.htm</t>
  </si>
  <si>
    <t>凤山镇</t>
  </si>
  <si>
    <t>https://sf-item.taobao.com/sf_item/1074045803335.htm</t>
  </si>
  <si>
    <t>音西街道音西村洋浦村石竹街道石门村北前亭村国际华城A8号楼607单元、608单元的房地产及室内动产</t>
  </si>
  <si>
    <t>国际华城</t>
  </si>
  <si>
    <t>慈溪市人民法院</t>
  </si>
  <si>
    <t>https://sf-item.taobao.com/sf_item/1074797218821.htm</t>
  </si>
  <si>
    <t>甘蔗街道滨城大道88号闽侯世茂滨江新城（现：世茂上游墅）65#楼15层1511SOHO办公</t>
  </si>
  <si>
    <t>世茂上游墅</t>
  </si>
  <si>
    <t>https://sf-item.taobao.com/sf_item/1074824770086.htm</t>
  </si>
  <si>
    <t>圣湖小区20#-503号住宅</t>
  </si>
  <si>
    <t>圣湖小区</t>
  </si>
  <si>
    <t>https://sf-item.taobao.com/sf_item/1070229439881.htm</t>
  </si>
  <si>
    <t>址在永春县桃源南路899号1幢2603室的房产</t>
  </si>
  <si>
    <t>桃源南路899号</t>
  </si>
  <si>
    <t>https://sf-item.taobao.com/sf_item/1070844749492.htm</t>
  </si>
  <si>
    <t>址在永春县桃源南路899号2幢2602室的房产</t>
  </si>
  <si>
    <t>https://sf-item.taobao.com/sf_item/1071815204423.htm</t>
  </si>
  <si>
    <t>丰泽街道东美社区泉秀街200号世纪巨星7幢607室住宅及室内部分家电家具和丰泽区泉秀街北侧新世纪花苑（世纪巨星）7号楼45储藏间</t>
  </si>
  <si>
    <t>世纪巨星</t>
  </si>
  <si>
    <t>主住宅：211.82㎡；储藏间：12.26㎡。</t>
  </si>
  <si>
    <t>https://sf-item.taobao.com/sf_item/1072106921791.htm</t>
  </si>
  <si>
    <t>池店镇池峰路溜霞花园2幢1207室住宅</t>
  </si>
  <si>
    <t>溜霞花园</t>
  </si>
  <si>
    <t>https://sf-item.taobao.com/sf_item/1072107377214.htm</t>
  </si>
  <si>
    <t>双阳街道新阳社区双滨街阳江花苑6号楼1108室住宅</t>
  </si>
  <si>
    <t>阳江花苑</t>
  </si>
  <si>
    <t>https://sf-item.taobao.com/sf_item/1073068856709.htm</t>
  </si>
  <si>
    <t>惠安县</t>
  </si>
  <si>
    <t>黄塘镇聚龙小镇陶然居19#607室复式房产</t>
  </si>
  <si>
    <t>聚龙小镇陶然居</t>
  </si>
  <si>
    <t>惠安县人民法院</t>
  </si>
  <si>
    <t>https://sf-item.taobao.com/sf_item/1057548194041.htm</t>
  </si>
  <si>
    <t>黄塘镇聚龙养生园聚龙大道9号逸翠园D组团D-1#1002室房产及室内部分家电</t>
  </si>
  <si>
    <t>逸翠园D组团</t>
  </si>
  <si>
    <t>https://sf-item.taobao.com/sf_item/1058538929473.htm</t>
  </si>
  <si>
    <t>黄塘镇聚龙养生园聚龙大道9号逸翠园D组团D-1#705室房产</t>
  </si>
  <si>
    <t>https://sf-item.taobao.com/sf_item/1058538961577.htm</t>
  </si>
  <si>
    <t>新塘街道联华大道28号港城·首府7幢105室房产</t>
  </si>
  <si>
    <t>港城·首府</t>
  </si>
  <si>
    <t>永安市人民法院</t>
  </si>
  <si>
    <t>https://sf-item.taobao.com/sf_item/1077109184018.htm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</si>
</sst>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-dd"/>
    <numFmt numFmtId="165" formatCode="#,##0.####"/>
  </numFmts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  <font>
      <sz val="10"/>
      <name val="宋体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378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1</v>
      </c>
      <c r="B7" t="s">
        <v>7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6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  <row r="2" spans="1:18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3">
        <v>46285.41666666667</v>
      </c>
      <c r="J2" s="2" t="s">
        <v>42</v>
      </c>
      <c r="K2" s="2" t="s">
        <v>43</v>
      </c>
      <c r="L2" s="4">
        <v>119.22</v>
      </c>
      <c r="M2" s="5">
        <f>IF(AND(ISNUMBER(N2),ISNUMBER(L2),L2&gt;0),ROUND(N2/L2,2),"")</f>
        <v>6440</v>
      </c>
      <c r="N2" s="6">
        <v>767777</v>
      </c>
      <c r="O2" s="7">
        <v>1371030</v>
      </c>
      <c r="P2" s="8">
        <f>IF(AND(ISNUMBER(N2),ISNUMBER(O2),O2&gt;0),N2/O2,"")</f>
        <v>0.5600001458757284</v>
      </c>
      <c r="Q2" s="9" t="s">
        <v>7</v>
      </c>
      <c r="R2" s="9" t="s">
        <v>44</v>
      </c>
    </row>
    <row r="3" spans="1:18" x14ac:dyDescent="0.25">
      <c r="A3" s="2" t="s">
        <v>34</v>
      </c>
      <c r="B3" s="2" t="s">
        <v>35</v>
      </c>
      <c r="C3" s="2" t="s">
        <v>45</v>
      </c>
      <c r="D3" s="2" t="s">
        <v>46</v>
      </c>
      <c r="E3" s="2" t="s">
        <v>47</v>
      </c>
      <c r="F3" s="2" t="s">
        <v>39</v>
      </c>
      <c r="G3" s="2" t="s">
        <v>40</v>
      </c>
      <c r="H3" s="2" t="s">
        <v>48</v>
      </c>
      <c r="I3" s="3">
        <v>46303.41666666667</v>
      </c>
      <c r="J3" s="2" t="s">
        <v>42</v>
      </c>
      <c r="K3" s="2" t="s">
        <v>49</v>
      </c>
      <c r="L3" s="4">
        <v>60.48</v>
      </c>
      <c r="M3" s="5">
        <f>IF(AND(ISNUMBER(N3),ISNUMBER(L3),L3&gt;0),ROUND(N3/L3,2),"")</f>
        <v>8109.23</v>
      </c>
      <c r="N3" s="6">
        <v>490446</v>
      </c>
      <c r="O3" s="7">
        <v>700636</v>
      </c>
      <c r="P3" s="8">
        <f>IF(AND(ISNUMBER(N3),ISNUMBER(O3),O3&gt;0),N3/O3,"")</f>
        <v>0.7000011418197181</v>
      </c>
      <c r="Q3" s="9" t="s">
        <v>7</v>
      </c>
      <c r="R3" s="9" t="s">
        <v>50</v>
      </c>
    </row>
    <row r="4" spans="1:18" x14ac:dyDescent="0.25">
      <c r="A4" s="2" t="s">
        <v>34</v>
      </c>
      <c r="B4" s="2" t="s">
        <v>35</v>
      </c>
      <c r="C4" s="2" t="s">
        <v>45</v>
      </c>
      <c r="D4" s="2" t="s">
        <v>51</v>
      </c>
      <c r="E4" s="2" t="s">
        <v>52</v>
      </c>
      <c r="F4" s="2" t="s">
        <v>39</v>
      </c>
      <c r="G4" s="2" t="s">
        <v>40</v>
      </c>
      <c r="H4" s="2" t="s">
        <v>48</v>
      </c>
      <c r="I4" s="3">
        <v>46302.41666666667</v>
      </c>
      <c r="J4" s="2" t="s">
        <v>42</v>
      </c>
      <c r="K4" s="2" t="s">
        <v>53</v>
      </c>
      <c r="L4" s="4">
        <v>74.18</v>
      </c>
      <c r="M4" s="5">
        <f>IF(AND(ISNUMBER(N4),ISNUMBER(L4),L4&gt;0),ROUND(N4/L4,2),"")</f>
        <v>7818.82</v>
      </c>
      <c r="N4" s="6">
        <v>580000</v>
      </c>
      <c r="O4" s="7">
        <v>815980</v>
      </c>
      <c r="P4" s="8">
        <f>IF(AND(ISNUMBER(N4),ISNUMBER(O4),O4&gt;0),N4/O4,"")</f>
        <v>0.7108017353366504</v>
      </c>
      <c r="Q4" s="9" t="s">
        <v>7</v>
      </c>
      <c r="R4" s="9" t="s">
        <v>54</v>
      </c>
    </row>
    <row r="5" spans="1:18" x14ac:dyDescent="0.25">
      <c r="A5" s="2" t="s">
        <v>34</v>
      </c>
      <c r="B5" s="2" t="s">
        <v>35</v>
      </c>
      <c r="C5" s="2" t="s">
        <v>45</v>
      </c>
      <c r="D5" s="2" t="s">
        <v>55</v>
      </c>
      <c r="E5" s="2" t="s">
        <v>56</v>
      </c>
      <c r="F5" s="2" t="s">
        <v>39</v>
      </c>
      <c r="G5" s="2" t="s">
        <v>40</v>
      </c>
      <c r="H5" s="2" t="s">
        <v>48</v>
      </c>
      <c r="I5" s="3">
        <v>46303.41666666667</v>
      </c>
      <c r="J5" s="2" t="s">
        <v>42</v>
      </c>
      <c r="K5" s="2" t="s">
        <v>57</v>
      </c>
      <c r="L5" s="4">
        <v>214.07</v>
      </c>
      <c r="M5" s="5">
        <f>IF(AND(ISNUMBER(N5),ISNUMBER(L5),L5&gt;0),ROUND(N5/L5,2),"")</f>
        <v>11484.98</v>
      </c>
      <c r="N5" s="6">
        <v>2458589</v>
      </c>
      <c r="O5" s="7">
        <v>3512269</v>
      </c>
      <c r="P5" s="8">
        <f>IF(AND(ISNUMBER(N5),ISNUMBER(O5),O5&gt;0),N5/O5,"")</f>
        <v>0.7000001993013633</v>
      </c>
      <c r="Q5" s="9" t="s">
        <v>7</v>
      </c>
      <c r="R5" s="9" t="s">
        <v>58</v>
      </c>
    </row>
    <row r="6" spans="1:18" x14ac:dyDescent="0.25">
      <c r="A6" s="2" t="s">
        <v>34</v>
      </c>
      <c r="B6" s="2" t="s">
        <v>35</v>
      </c>
      <c r="C6" s="2" t="s">
        <v>59</v>
      </c>
      <c r="D6" s="2" t="s">
        <v>60</v>
      </c>
      <c r="E6" s="2" t="s">
        <v>61</v>
      </c>
      <c r="F6" s="2" t="s">
        <v>39</v>
      </c>
      <c r="G6" s="2" t="s">
        <v>40</v>
      </c>
      <c r="H6" s="2" t="s">
        <v>48</v>
      </c>
      <c r="I6" s="3">
        <v>46302.41666666667</v>
      </c>
      <c r="J6" s="2" t="s">
        <v>42</v>
      </c>
      <c r="K6" s="2" t="s">
        <v>53</v>
      </c>
      <c r="L6" s="4">
        <v>119.26</v>
      </c>
      <c r="M6" s="5">
        <f>IF(AND(ISNUMBER(N6),ISNUMBER(L6),L6&gt;0),ROUND(N6/L6,2),"")</f>
        <v>9894.35</v>
      </c>
      <c r="N6" s="6">
        <v>1180000</v>
      </c>
      <c r="O6" s="7">
        <v>1681106.72</v>
      </c>
      <c r="P6" s="8">
        <f>IF(AND(ISNUMBER(N6),ISNUMBER(O6),O6&gt;0),N6/O6,"")</f>
        <v>0.7019185551765565</v>
      </c>
      <c r="Q6" s="9" t="s">
        <v>7</v>
      </c>
      <c r="R6" s="9" t="s">
        <v>62</v>
      </c>
    </row>
    <row r="7" spans="1:18" x14ac:dyDescent="0.25">
      <c r="A7" s="2" t="s">
        <v>34</v>
      </c>
      <c r="B7" s="2" t="s">
        <v>35</v>
      </c>
      <c r="C7" s="2" t="s">
        <v>63</v>
      </c>
      <c r="D7" s="2" t="s">
        <v>64</v>
      </c>
      <c r="E7" s="2" t="s">
        <v>65</v>
      </c>
      <c r="F7" s="2" t="s">
        <v>39</v>
      </c>
      <c r="G7" s="2" t="s">
        <v>40</v>
      </c>
      <c r="H7" s="2" t="s">
        <v>48</v>
      </c>
      <c r="I7" s="3">
        <v>46303.41666666667</v>
      </c>
      <c r="J7" s="2" t="s">
        <v>42</v>
      </c>
      <c r="K7" s="2" t="s">
        <v>49</v>
      </c>
      <c r="L7" s="4">
        <v>123.17</v>
      </c>
      <c r="M7" s="5">
        <f>IF(AND(ISNUMBER(N7),ISNUMBER(L7),L7&gt;0),ROUND(N7/L7,2),"")</f>
        <v>4165.59</v>
      </c>
      <c r="N7" s="6">
        <v>513076</v>
      </c>
      <c r="O7" s="7">
        <v>732965</v>
      </c>
      <c r="P7" s="8">
        <f>IF(AND(ISNUMBER(N7),ISNUMBER(O7),O7&gt;0),N7/O7,"")</f>
        <v>0.7000006821608126</v>
      </c>
      <c r="Q7" s="9" t="s">
        <v>7</v>
      </c>
      <c r="R7" s="9" t="s">
        <v>66</v>
      </c>
    </row>
    <row r="8" spans="1:18" x14ac:dyDescent="0.25">
      <c r="A8" s="2" t="s">
        <v>34</v>
      </c>
      <c r="B8" s="2" t="s">
        <v>35</v>
      </c>
      <c r="C8" s="2" t="s">
        <v>67</v>
      </c>
      <c r="D8" s="2" t="s">
        <v>68</v>
      </c>
      <c r="E8" s="2" t="s">
        <v>69</v>
      </c>
      <c r="F8" s="2" t="s">
        <v>39</v>
      </c>
      <c r="G8" s="2" t="s">
        <v>40</v>
      </c>
      <c r="H8" s="2" t="s">
        <v>41</v>
      </c>
      <c r="I8" s="3">
        <v>46285.41666666667</v>
      </c>
      <c r="J8" s="2" t="s">
        <v>42</v>
      </c>
      <c r="K8" s="2" t="s">
        <v>43</v>
      </c>
      <c r="L8" s="4">
        <v>89.49</v>
      </c>
      <c r="M8" s="5">
        <f>IF(AND(ISNUMBER(N8),ISNUMBER(L8),L8&gt;0),ROUND(N8/L8,2),"")</f>
        <v>5400.65</v>
      </c>
      <c r="N8" s="6">
        <v>483304</v>
      </c>
      <c r="O8" s="7">
        <v>863042</v>
      </c>
      <c r="P8" s="8">
        <f>IF(AND(ISNUMBER(N8),ISNUMBER(O8),O8&gt;0),N8/O8,"")</f>
        <v>0.5600005561722373</v>
      </c>
      <c r="Q8" s="9" t="s">
        <v>7</v>
      </c>
      <c r="R8" s="9" t="s">
        <v>70</v>
      </c>
    </row>
    <row r="9" spans="1:18" x14ac:dyDescent="0.25">
      <c r="A9" s="2" t="s">
        <v>34</v>
      </c>
      <c r="B9" s="2" t="s">
        <v>35</v>
      </c>
      <c r="C9" s="2" t="s">
        <v>45</v>
      </c>
      <c r="D9" s="2" t="s">
        <v>71</v>
      </c>
      <c r="E9" s="2" t="s">
        <v>72</v>
      </c>
      <c r="F9" s="2" t="s">
        <v>73</v>
      </c>
      <c r="G9" s="2" t="s">
        <v>40</v>
      </c>
      <c r="H9" s="2" t="s">
        <v>48</v>
      </c>
      <c r="I9" s="3">
        <v>46300.41666666667</v>
      </c>
      <c r="J9" s="2" t="s">
        <v>42</v>
      </c>
      <c r="K9" s="2" t="s">
        <v>43</v>
      </c>
      <c r="L9" s="4">
        <v>26.8</v>
      </c>
      <c r="M9" s="5">
        <f>IF(AND(ISNUMBER(N9),ISNUMBER(L9),L9&gt;0),ROUND(N9/L9,2),"")</f>
        <v>3917.91</v>
      </c>
      <c r="N9" s="6">
        <v>105000</v>
      </c>
      <c r="O9" s="7">
        <v>150000</v>
      </c>
      <c r="P9" s="8">
        <f>IF(AND(ISNUMBER(N9),ISNUMBER(O9),O9&gt;0),N9/O9,"")</f>
        <v>0.7</v>
      </c>
      <c r="Q9" s="9" t="s">
        <v>7</v>
      </c>
      <c r="R9" s="9" t="s">
        <v>74</v>
      </c>
    </row>
    <row r="10" spans="1:18" x14ac:dyDescent="0.25">
      <c r="A10" s="2" t="s">
        <v>34</v>
      </c>
      <c r="B10" s="2" t="s">
        <v>35</v>
      </c>
      <c r="C10" s="2" t="s">
        <v>75</v>
      </c>
      <c r="D10" s="2" t="s">
        <v>76</v>
      </c>
      <c r="E10" s="2" t="s">
        <v>77</v>
      </c>
      <c r="F10" s="2" t="s">
        <v>39</v>
      </c>
      <c r="G10" s="2" t="s">
        <v>40</v>
      </c>
      <c r="H10" s="2" t="s">
        <v>78</v>
      </c>
      <c r="I10" s="3">
        <v>46285.41666666667</v>
      </c>
      <c r="J10" s="2" t="s">
        <v>42</v>
      </c>
      <c r="K10" s="2" t="s">
        <v>79</v>
      </c>
      <c r="L10" s="4">
        <v>105.96</v>
      </c>
      <c r="M10" s="5">
        <f>IF(AND(ISNUMBER(N10),ISNUMBER(L10),L10&gt;0),ROUND(N10/L10,2),"")</f>
        <v>4173.37</v>
      </c>
      <c r="N10" s="6">
        <v>442210</v>
      </c>
      <c r="O10" s="7">
        <v>789659.22</v>
      </c>
      <c r="P10" s="8">
        <f>IF(AND(ISNUMBER(N10),ISNUMBER(O10),O10&gt;0),N10/O10,"")</f>
        <v>0.560001059697625</v>
      </c>
      <c r="Q10" s="9" t="s">
        <v>7</v>
      </c>
      <c r="R10" s="9" t="s">
        <v>80</v>
      </c>
    </row>
    <row r="11" spans="1:18" x14ac:dyDescent="0.25">
      <c r="A11" s="2" t="s">
        <v>34</v>
      </c>
      <c r="B11" s="2" t="s">
        <v>35</v>
      </c>
      <c r="C11" s="2" t="s">
        <v>63</v>
      </c>
      <c r="D11" s="2" t="s">
        <v>81</v>
      </c>
      <c r="E11" s="2" t="s">
        <v>82</v>
      </c>
      <c r="F11" s="2" t="s">
        <v>73</v>
      </c>
      <c r="G11" s="2" t="s">
        <v>40</v>
      </c>
      <c r="H11" s="2" t="s">
        <v>41</v>
      </c>
      <c r="I11" s="3">
        <v>46285.41666666667</v>
      </c>
      <c r="J11" s="2" t="s">
        <v>42</v>
      </c>
      <c r="K11" s="2" t="s">
        <v>79</v>
      </c>
      <c r="L11" s="4">
        <v>28.34</v>
      </c>
      <c r="M11" s="5">
        <f>IF(AND(ISNUMBER(N11),ISNUMBER(L11),L11&gt;0),ROUND(N11/L11,2),"")</f>
        <v>4581.79</v>
      </c>
      <c r="N11" s="6">
        <v>129848</v>
      </c>
      <c r="O11" s="7">
        <v>202886.06</v>
      </c>
      <c r="P11" s="8">
        <f>IF(AND(ISNUMBER(N11),ISNUMBER(O11),O11&gt;0),N11/O11,"")</f>
        <v>0.6400045424510683</v>
      </c>
      <c r="Q11" s="9" t="s">
        <v>7</v>
      </c>
      <c r="R11" s="9" t="s">
        <v>83</v>
      </c>
    </row>
    <row r="12" spans="1:18" x14ac:dyDescent="0.25">
      <c r="A12" s="2" t="s">
        <v>34</v>
      </c>
      <c r="B12" s="2" t="s">
        <v>35</v>
      </c>
      <c r="C12" s="2" t="s">
        <v>36</v>
      </c>
      <c r="D12" s="2" t="s">
        <v>84</v>
      </c>
      <c r="E12" s="2" t="s">
        <v>85</v>
      </c>
      <c r="F12" s="2" t="s">
        <v>39</v>
      </c>
      <c r="G12" s="2" t="s">
        <v>40</v>
      </c>
      <c r="H12" s="2" t="s">
        <v>48</v>
      </c>
      <c r="I12" s="3">
        <v>46308.41666666667</v>
      </c>
      <c r="J12" s="2" t="s">
        <v>42</v>
      </c>
      <c r="K12" s="2" t="s">
        <v>86</v>
      </c>
      <c r="L12" s="4">
        <v>229.07</v>
      </c>
      <c r="M12" s="5">
        <f>IF(AND(ISNUMBER(N12),ISNUMBER(L12),L12&gt;0),ROUND(N12/L12,2),"")</f>
        <v>19622.82</v>
      </c>
      <c r="N12" s="6">
        <v>4495000</v>
      </c>
      <c r="O12" s="7">
        <v>4495000</v>
      </c>
      <c r="P12" s="8">
        <f>IF(AND(ISNUMBER(N12),ISNUMBER(O12),O12&gt;0),N12/O12,"")</f>
        <v>1</v>
      </c>
      <c r="Q12" s="2" t="s">
        <v>87</v>
      </c>
      <c r="R12" s="9" t="s">
        <v>88</v>
      </c>
    </row>
    <row r="13" spans="1:18" x14ac:dyDescent="0.25">
      <c r="A13" s="2" t="s">
        <v>34</v>
      </c>
      <c r="B13" s="2" t="s">
        <v>35</v>
      </c>
      <c r="C13" s="2" t="s">
        <v>89</v>
      </c>
      <c r="D13" s="2" t="s">
        <v>90</v>
      </c>
      <c r="E13" s="2" t="s">
        <v>61</v>
      </c>
      <c r="F13" s="2" t="s">
        <v>39</v>
      </c>
      <c r="G13" s="2" t="s">
        <v>40</v>
      </c>
      <c r="H13" s="2" t="s">
        <v>41</v>
      </c>
      <c r="I13" s="3">
        <v>46285.41666666667</v>
      </c>
      <c r="J13" s="2" t="s">
        <v>42</v>
      </c>
      <c r="K13" s="2" t="s">
        <v>57</v>
      </c>
      <c r="L13" s="4">
        <v>96.76</v>
      </c>
      <c r="M13" s="5">
        <f>IF(AND(ISNUMBER(N13),ISNUMBER(L13),L13&gt;0),ROUND(N13/L13,2),"")</f>
        <v>11234.58</v>
      </c>
      <c r="N13" s="6">
        <v>1087058.4</v>
      </c>
      <c r="O13" s="7">
        <v>1358823</v>
      </c>
      <c r="P13" s="8">
        <f>IF(AND(ISNUMBER(N13),ISNUMBER(O13),O13&gt;0),N13/O13,"")</f>
        <v>0.7999999999999999</v>
      </c>
      <c r="Q13" s="9" t="s">
        <v>7</v>
      </c>
      <c r="R13" s="9" t="s">
        <v>91</v>
      </c>
    </row>
    <row r="14" spans="1:18" x14ac:dyDescent="0.25">
      <c r="A14" s="2" t="s">
        <v>34</v>
      </c>
      <c r="B14" s="2" t="s">
        <v>35</v>
      </c>
      <c r="C14" s="2" t="s">
        <v>63</v>
      </c>
      <c r="D14" s="2" t="s">
        <v>92</v>
      </c>
      <c r="E14" s="2" t="s">
        <v>93</v>
      </c>
      <c r="F14" s="2" t="s">
        <v>39</v>
      </c>
      <c r="G14" s="2" t="s">
        <v>40</v>
      </c>
      <c r="H14" s="2" t="s">
        <v>41</v>
      </c>
      <c r="I14" s="3">
        <v>46286.41666666667</v>
      </c>
      <c r="J14" s="2" t="s">
        <v>42</v>
      </c>
      <c r="K14" s="2" t="s">
        <v>94</v>
      </c>
      <c r="L14" s="4">
        <v>91.19</v>
      </c>
      <c r="M14" s="5">
        <f>IF(AND(ISNUMBER(N14),ISNUMBER(L14),L14&gt;0),ROUND(N14/L14,2),"")</f>
        <v>7280.01</v>
      </c>
      <c r="N14" s="6">
        <v>663864</v>
      </c>
      <c r="O14" s="7">
        <v>1185470</v>
      </c>
      <c r="P14" s="8">
        <f>IF(AND(ISNUMBER(N14),ISNUMBER(O14),O14&gt;0),N14/O14,"")</f>
        <v>0.560000674837828</v>
      </c>
      <c r="Q14" s="9" t="s">
        <v>7</v>
      </c>
      <c r="R14" s="9" t="s">
        <v>95</v>
      </c>
    </row>
    <row r="15" spans="1:18" x14ac:dyDescent="0.25">
      <c r="A15" s="2" t="s">
        <v>34</v>
      </c>
      <c r="B15" s="2" t="s">
        <v>35</v>
      </c>
      <c r="C15" s="2" t="s">
        <v>67</v>
      </c>
      <c r="D15" s="2" t="s">
        <v>96</v>
      </c>
      <c r="E15" s="2" t="s">
        <v>61</v>
      </c>
      <c r="F15" s="2" t="s">
        <v>39</v>
      </c>
      <c r="G15" s="2" t="s">
        <v>40</v>
      </c>
      <c r="H15" s="2" t="s">
        <v>48</v>
      </c>
      <c r="I15" s="3">
        <v>46304.41666666667</v>
      </c>
      <c r="J15" s="2" t="s">
        <v>42</v>
      </c>
      <c r="K15" s="2" t="s">
        <v>53</v>
      </c>
      <c r="L15" s="4">
        <v>134.04</v>
      </c>
      <c r="M15" s="5">
        <f>IF(AND(ISNUMBER(N15),ISNUMBER(L15),L15&gt;0),ROUND(N15/L15,2),"")</f>
        <v>4923.9</v>
      </c>
      <c r="N15" s="6">
        <v>660000</v>
      </c>
      <c r="O15" s="7">
        <v>932811.63</v>
      </c>
      <c r="P15" s="8">
        <f>IF(AND(ISNUMBER(N15),ISNUMBER(O15),O15&gt;0),N15/O15,"")</f>
        <v>0.7075383483372736</v>
      </c>
      <c r="Q15" s="9" t="s">
        <v>7</v>
      </c>
      <c r="R15" s="9" t="s">
        <v>97</v>
      </c>
    </row>
    <row r="16" spans="1:18" x14ac:dyDescent="0.25">
      <c r="A16" s="2" t="s">
        <v>34</v>
      </c>
      <c r="B16" s="2" t="s">
        <v>35</v>
      </c>
      <c r="C16" s="2" t="s">
        <v>63</v>
      </c>
      <c r="D16" s="2" t="s">
        <v>98</v>
      </c>
      <c r="E16" s="2" t="s">
        <v>99</v>
      </c>
      <c r="F16" s="2" t="s">
        <v>39</v>
      </c>
      <c r="G16" s="2" t="s">
        <v>40</v>
      </c>
      <c r="H16" s="2" t="s">
        <v>48</v>
      </c>
      <c r="I16" s="3">
        <v>46305.41666666667</v>
      </c>
      <c r="J16" s="2" t="s">
        <v>42</v>
      </c>
      <c r="K16" s="2" t="s">
        <v>53</v>
      </c>
      <c r="L16" s="4">
        <v>131.75</v>
      </c>
      <c r="M16" s="5">
        <f>IF(AND(ISNUMBER(N16),ISNUMBER(L16),L16&gt;0),ROUND(N16/L16,2),"")</f>
        <v>7893.74</v>
      </c>
      <c r="N16" s="6">
        <v>1040000</v>
      </c>
      <c r="O16" s="7">
        <v>1475188.3</v>
      </c>
      <c r="P16" s="8">
        <f>IF(AND(ISNUMBER(N16),ISNUMBER(O16),O16&gt;0),N16/O16,"")</f>
        <v>0.7049947454165681</v>
      </c>
      <c r="Q16" s="9" t="s">
        <v>7</v>
      </c>
      <c r="R16" s="9" t="s">
        <v>100</v>
      </c>
    </row>
    <row r="17" spans="1:18" x14ac:dyDescent="0.25">
      <c r="A17" s="2" t="s">
        <v>34</v>
      </c>
      <c r="B17" s="2" t="s">
        <v>35</v>
      </c>
      <c r="C17" s="2" t="s">
        <v>67</v>
      </c>
      <c r="D17" s="2" t="s">
        <v>101</v>
      </c>
      <c r="E17" s="2" t="s">
        <v>102</v>
      </c>
      <c r="F17" s="2" t="s">
        <v>39</v>
      </c>
      <c r="G17" s="2" t="s">
        <v>40</v>
      </c>
      <c r="H17" s="2" t="s">
        <v>48</v>
      </c>
      <c r="I17" s="3">
        <v>46303.41666666667</v>
      </c>
      <c r="J17" s="2" t="s">
        <v>42</v>
      </c>
      <c r="K17" s="2" t="s">
        <v>53</v>
      </c>
      <c r="L17" s="4">
        <v>129.3</v>
      </c>
      <c r="M17" s="5">
        <f>IF(AND(ISNUMBER(N17),ISNUMBER(L17),L17&gt;0),ROUND(N17/L17,2),"")</f>
        <v>6457.85</v>
      </c>
      <c r="N17" s="6">
        <v>835000</v>
      </c>
      <c r="O17" s="7">
        <v>1192727.9</v>
      </c>
      <c r="P17" s="8">
        <f>IF(AND(ISNUMBER(N17),ISNUMBER(O17),O17&gt;0),N17/O17,"")</f>
        <v>0.70007585133206</v>
      </c>
      <c r="Q17" s="9" t="s">
        <v>7</v>
      </c>
      <c r="R17" s="9" t="s">
        <v>103</v>
      </c>
    </row>
    <row r="18" spans="1:18" x14ac:dyDescent="0.25">
      <c r="A18" s="2" t="s">
        <v>34</v>
      </c>
      <c r="B18" s="2" t="s">
        <v>35</v>
      </c>
      <c r="C18" s="2" t="s">
        <v>63</v>
      </c>
      <c r="D18" s="2" t="s">
        <v>104</v>
      </c>
      <c r="E18" s="2" t="s">
        <v>105</v>
      </c>
      <c r="F18" s="2" t="s">
        <v>39</v>
      </c>
      <c r="G18" s="2" t="s">
        <v>40</v>
      </c>
      <c r="H18" s="2" t="s">
        <v>48</v>
      </c>
      <c r="I18" s="3">
        <v>46303.41666666667</v>
      </c>
      <c r="J18" s="2" t="s">
        <v>42</v>
      </c>
      <c r="K18" s="2" t="s">
        <v>53</v>
      </c>
      <c r="L18" s="4">
        <v>353.29</v>
      </c>
      <c r="M18" s="5">
        <f>IF(AND(ISNUMBER(N18),ISNUMBER(L18),L18&gt;0),ROUND(N18/L18,2),"")</f>
        <v>13586.57</v>
      </c>
      <c r="N18" s="6">
        <v>4800000</v>
      </c>
      <c r="O18" s="7">
        <v>6852766.13</v>
      </c>
      <c r="P18" s="8">
        <f>IF(AND(ISNUMBER(N18),ISNUMBER(O18),O18&gt;0),N18/O18,"")</f>
        <v>0.7004470762524038</v>
      </c>
      <c r="Q18" s="9" t="s">
        <v>7</v>
      </c>
      <c r="R18" s="9" t="s">
        <v>106</v>
      </c>
    </row>
    <row r="19" spans="1:18" x14ac:dyDescent="0.25">
      <c r="A19" s="2" t="s">
        <v>34</v>
      </c>
      <c r="B19" s="2" t="s">
        <v>35</v>
      </c>
      <c r="C19" s="2" t="s">
        <v>75</v>
      </c>
      <c r="D19" s="2" t="s">
        <v>107</v>
      </c>
      <c r="E19" s="2" t="s">
        <v>108</v>
      </c>
      <c r="F19" s="2" t="s">
        <v>39</v>
      </c>
      <c r="G19" s="2" t="s">
        <v>40</v>
      </c>
      <c r="H19" s="2" t="s">
        <v>41</v>
      </c>
      <c r="I19" s="3">
        <v>46286.41666666667</v>
      </c>
      <c r="J19" s="2" t="s">
        <v>42</v>
      </c>
      <c r="K19" s="2" t="s">
        <v>79</v>
      </c>
      <c r="L19" s="4">
        <v>108.23</v>
      </c>
      <c r="M19" s="5">
        <f>IF(AND(ISNUMBER(N19),ISNUMBER(L19),L19&gt;0),ROUND(N19/L19,2),"")</f>
        <v>6695.74</v>
      </c>
      <c r="N19" s="6">
        <v>724680</v>
      </c>
      <c r="O19" s="7">
        <v>1132312.62</v>
      </c>
      <c r="P19" s="8">
        <f>IF(AND(ISNUMBER(N19),ISNUMBER(O19),O19&gt;0),N19/O19,"")</f>
        <v>0.6399999321742081</v>
      </c>
      <c r="Q19" s="9" t="s">
        <v>7</v>
      </c>
      <c r="R19" s="9" t="s">
        <v>109</v>
      </c>
    </row>
    <row r="20" spans="1:18" x14ac:dyDescent="0.25">
      <c r="A20" s="2" t="s">
        <v>34</v>
      </c>
      <c r="B20" s="2" t="s">
        <v>35</v>
      </c>
      <c r="C20" s="2" t="s">
        <v>67</v>
      </c>
      <c r="D20" s="2" t="s">
        <v>110</v>
      </c>
      <c r="E20" s="2" t="s">
        <v>111</v>
      </c>
      <c r="F20" s="2" t="s">
        <v>39</v>
      </c>
      <c r="G20" s="2" t="s">
        <v>40</v>
      </c>
      <c r="H20" s="2" t="s">
        <v>48</v>
      </c>
      <c r="I20" s="3">
        <v>46308.41666666667</v>
      </c>
      <c r="J20" s="2" t="s">
        <v>42</v>
      </c>
      <c r="K20" s="2" t="s">
        <v>53</v>
      </c>
      <c r="L20" s="4">
        <v>82.85</v>
      </c>
      <c r="M20" s="5">
        <f>IF(AND(ISNUMBER(N20),ISNUMBER(L20),L20&gt;0),ROUND(N20/L20,2),"")</f>
        <v>5612.55</v>
      </c>
      <c r="N20" s="6">
        <v>465000</v>
      </c>
      <c r="O20" s="7">
        <v>663526.97</v>
      </c>
      <c r="P20" s="8">
        <f>IF(AND(ISNUMBER(N20),ISNUMBER(O20),O20&gt;0),N20/O20,"")</f>
        <v>0.7008004512612351</v>
      </c>
      <c r="Q20" s="9" t="s">
        <v>7</v>
      </c>
      <c r="R20" s="9" t="s">
        <v>112</v>
      </c>
    </row>
    <row r="21" spans="1:18" x14ac:dyDescent="0.25">
      <c r="A21" s="2" t="s">
        <v>34</v>
      </c>
      <c r="B21" s="2" t="s">
        <v>35</v>
      </c>
      <c r="C21" s="2" t="s">
        <v>63</v>
      </c>
      <c r="D21" s="2" t="s">
        <v>113</v>
      </c>
      <c r="E21" s="2" t="s">
        <v>114</v>
      </c>
      <c r="F21" s="2" t="s">
        <v>39</v>
      </c>
      <c r="G21" s="2" t="s">
        <v>40</v>
      </c>
      <c r="H21" s="2" t="s">
        <v>48</v>
      </c>
      <c r="I21" s="3">
        <v>46305.41666666667</v>
      </c>
      <c r="J21" s="2" t="s">
        <v>42</v>
      </c>
      <c r="K21" s="2" t="s">
        <v>53</v>
      </c>
      <c r="L21" s="4">
        <v>61.6</v>
      </c>
      <c r="M21" s="5">
        <f>IF(AND(ISNUMBER(N21),ISNUMBER(L21),L21&gt;0),ROUND(N21/L21,2),"")</f>
        <v>8685.06</v>
      </c>
      <c r="N21" s="6">
        <v>535000</v>
      </c>
      <c r="O21" s="7">
        <v>757263.75</v>
      </c>
      <c r="P21" s="8">
        <f>IF(AND(ISNUMBER(N21),ISNUMBER(O21),O21&gt;0),N21/O21,"")</f>
        <v>0.7064909683052966</v>
      </c>
      <c r="Q21" s="9" t="s">
        <v>7</v>
      </c>
      <c r="R21" s="9" t="s">
        <v>115</v>
      </c>
    </row>
    <row r="22" spans="1:18" x14ac:dyDescent="0.25">
      <c r="A22" s="2" t="s">
        <v>34</v>
      </c>
      <c r="B22" s="2" t="s">
        <v>35</v>
      </c>
      <c r="C22" s="2" t="s">
        <v>116</v>
      </c>
      <c r="D22" s="2" t="s">
        <v>117</v>
      </c>
      <c r="E22" s="2" t="s">
        <v>118</v>
      </c>
      <c r="F22" s="2" t="s">
        <v>39</v>
      </c>
      <c r="G22" s="2" t="s">
        <v>119</v>
      </c>
      <c r="H22" s="2" t="s">
        <v>48</v>
      </c>
      <c r="I22" s="3">
        <v>46314.41666666667</v>
      </c>
      <c r="J22" s="2" t="s">
        <v>42</v>
      </c>
      <c r="K22" s="2" t="s">
        <v>120</v>
      </c>
      <c r="L22" s="4">
        <v>141.26</v>
      </c>
      <c r="M22" s="5">
        <f>IF(AND(ISNUMBER(N22),ISNUMBER(L22),L22&gt;0),ROUND(N22/L22,2),"")</f>
        <v>3136.77</v>
      </c>
      <c r="N22" s="6">
        <v>443100</v>
      </c>
      <c r="O22" s="7">
        <v>633000</v>
      </c>
      <c r="P22" s="8">
        <f>IF(AND(ISNUMBER(N22),ISNUMBER(O22),O22&gt;0),N22/O22,"")</f>
        <v>0.7</v>
      </c>
      <c r="Q22" s="9" t="s">
        <v>7</v>
      </c>
      <c r="R22" s="9" t="s">
        <v>121</v>
      </c>
    </row>
    <row r="23" spans="1:18" x14ac:dyDescent="0.25">
      <c r="A23" s="2" t="s">
        <v>34</v>
      </c>
      <c r="B23" s="2" t="s">
        <v>35</v>
      </c>
      <c r="C23" s="2" t="s">
        <v>122</v>
      </c>
      <c r="D23" s="2" t="s">
        <v>123</v>
      </c>
      <c r="E23" s="2" t="s">
        <v>124</v>
      </c>
      <c r="F23" s="2" t="s">
        <v>39</v>
      </c>
      <c r="G23" s="2" t="s">
        <v>119</v>
      </c>
      <c r="H23" s="2" t="s">
        <v>48</v>
      </c>
      <c r="I23" s="3">
        <v>46299.41666666667</v>
      </c>
      <c r="J23" s="2" t="s">
        <v>42</v>
      </c>
      <c r="K23" s="2" t="s">
        <v>125</v>
      </c>
      <c r="L23" s="4">
        <v>113.82</v>
      </c>
      <c r="M23" s="5">
        <f>IF(AND(ISNUMBER(N23),ISNUMBER(L23),L23&gt;0),ROUND(N23/L23,2),"")</f>
        <v>3498.81</v>
      </c>
      <c r="N23" s="6">
        <v>398234.88</v>
      </c>
      <c r="O23" s="7">
        <v>568906.97</v>
      </c>
      <c r="P23" s="8">
        <f>IF(AND(ISNUMBER(N23),ISNUMBER(O23),O23&gt;0),N23/O23,"")</f>
        <v>0.7000000017577567</v>
      </c>
      <c r="Q23" s="2" t="s">
        <v>126</v>
      </c>
      <c r="R23" s="9" t="s">
        <v>127</v>
      </c>
    </row>
    <row r="24" spans="1:18" x14ac:dyDescent="0.25">
      <c r="A24" s="2" t="s">
        <v>34</v>
      </c>
      <c r="B24" s="2" t="s">
        <v>35</v>
      </c>
      <c r="C24" s="2" t="s">
        <v>122</v>
      </c>
      <c r="D24" s="2" t="s">
        <v>128</v>
      </c>
      <c r="E24" s="2" t="s">
        <v>129</v>
      </c>
      <c r="F24" s="2" t="s">
        <v>39</v>
      </c>
      <c r="G24" s="2" t="s">
        <v>119</v>
      </c>
      <c r="H24" s="2" t="s">
        <v>48</v>
      </c>
      <c r="I24" s="3">
        <v>46299.41666666667</v>
      </c>
      <c r="J24" s="2" t="s">
        <v>42</v>
      </c>
      <c r="K24" s="2" t="s">
        <v>125</v>
      </c>
      <c r="L24" s="4">
        <v>82.48</v>
      </c>
      <c r="M24" s="5">
        <f>IF(AND(ISNUMBER(N24),ISNUMBER(L24),L24&gt;0),ROUND(N24/L24,2),"")</f>
        <v>2949.8</v>
      </c>
      <c r="N24" s="6">
        <v>243299.67</v>
      </c>
      <c r="O24" s="7">
        <v>347570.96</v>
      </c>
      <c r="P24" s="8">
        <f>IF(AND(ISNUMBER(N24),ISNUMBER(O24),O24&gt;0),N24/O24,"")</f>
        <v>0.6999999942457793</v>
      </c>
      <c r="Q24" s="2" t="s">
        <v>130</v>
      </c>
      <c r="R24" s="9" t="s">
        <v>131</v>
      </c>
    </row>
    <row r="25" spans="1:18" x14ac:dyDescent="0.25">
      <c r="A25" s="2" t="s">
        <v>34</v>
      </c>
      <c r="B25" s="2" t="s">
        <v>35</v>
      </c>
      <c r="C25" s="2" t="s">
        <v>45</v>
      </c>
      <c r="D25" s="2" t="s">
        <v>132</v>
      </c>
      <c r="E25" s="2" t="s">
        <v>61</v>
      </c>
      <c r="F25" s="2" t="s">
        <v>133</v>
      </c>
      <c r="G25" s="2" t="s">
        <v>119</v>
      </c>
      <c r="H25" s="2" t="s">
        <v>48</v>
      </c>
      <c r="I25" s="3">
        <v>46309.41666666667</v>
      </c>
      <c r="J25" s="2" t="s">
        <v>42</v>
      </c>
      <c r="K25" s="2" t="s">
        <v>49</v>
      </c>
      <c r="L25" s="4">
        <v>46.55</v>
      </c>
      <c r="M25" s="5">
        <f>IF(AND(ISNUMBER(N25),ISNUMBER(L25),L25&gt;0),ROUND(N25/L25,2),"")</f>
        <v>8400</v>
      </c>
      <c r="N25" s="6">
        <v>391020</v>
      </c>
      <c r="O25" s="7">
        <v>558600</v>
      </c>
      <c r="P25" s="8">
        <f>IF(AND(ISNUMBER(N25),ISNUMBER(O25),O25&gt;0),N25/O25,"")</f>
        <v>0.7</v>
      </c>
      <c r="Q25" s="9" t="s">
        <v>7</v>
      </c>
      <c r="R25" s="9" t="s">
        <v>134</v>
      </c>
    </row>
    <row r="26" spans="1:18" x14ac:dyDescent="0.25">
      <c r="A26" s="2" t="s">
        <v>34</v>
      </c>
      <c r="B26" s="2" t="s">
        <v>35</v>
      </c>
      <c r="C26" s="2" t="s">
        <v>116</v>
      </c>
      <c r="D26" s="2" t="s">
        <v>135</v>
      </c>
      <c r="E26" s="2" t="s">
        <v>118</v>
      </c>
      <c r="F26" s="2" t="s">
        <v>39</v>
      </c>
      <c r="G26" s="2" t="s">
        <v>119</v>
      </c>
      <c r="H26" s="2" t="s">
        <v>48</v>
      </c>
      <c r="I26" s="3">
        <v>46314.41666666667</v>
      </c>
      <c r="J26" s="2" t="s">
        <v>42</v>
      </c>
      <c r="K26" s="2" t="s">
        <v>120</v>
      </c>
      <c r="L26" s="4">
        <v>141.26</v>
      </c>
      <c r="M26" s="5">
        <f>IF(AND(ISNUMBER(N26),ISNUMBER(L26),L26&gt;0),ROUND(N26/L26,2),"")</f>
        <v>3166.5</v>
      </c>
      <c r="N26" s="6">
        <v>447300</v>
      </c>
      <c r="O26" s="7">
        <v>639000</v>
      </c>
      <c r="P26" s="8">
        <f>IF(AND(ISNUMBER(N26),ISNUMBER(O26),O26&gt;0),N26/O26,"")</f>
        <v>0.7</v>
      </c>
      <c r="Q26" s="9" t="s">
        <v>7</v>
      </c>
      <c r="R26" s="9" t="s">
        <v>136</v>
      </c>
    </row>
    <row r="27" spans="1:18" x14ac:dyDescent="0.25">
      <c r="A27" s="2" t="s">
        <v>34</v>
      </c>
      <c r="B27" s="2" t="s">
        <v>35</v>
      </c>
      <c r="C27" s="2" t="s">
        <v>122</v>
      </c>
      <c r="D27" s="2" t="s">
        <v>137</v>
      </c>
      <c r="E27" s="2" t="s">
        <v>138</v>
      </c>
      <c r="F27" s="2" t="s">
        <v>39</v>
      </c>
      <c r="G27" s="2" t="s">
        <v>119</v>
      </c>
      <c r="H27" s="2" t="s">
        <v>48</v>
      </c>
      <c r="I27" s="3">
        <v>46299.41666666667</v>
      </c>
      <c r="J27" s="2" t="s">
        <v>42</v>
      </c>
      <c r="K27" s="2" t="s">
        <v>125</v>
      </c>
      <c r="L27" s="4">
        <v>102.84</v>
      </c>
      <c r="M27" s="5">
        <f>IF(AND(ISNUMBER(N27),ISNUMBER(L27),L27&gt;0),ROUND(N27/L27,2),"")</f>
        <v>4604.81</v>
      </c>
      <c r="N27" s="6">
        <v>473558.94</v>
      </c>
      <c r="O27" s="7">
        <v>676512.77</v>
      </c>
      <c r="P27" s="8">
        <f>IF(AND(ISNUMBER(N27),ISNUMBER(O27),O27&gt;0),N27/O27,"")</f>
        <v>0.7000000014781687</v>
      </c>
      <c r="Q27" s="2" t="s">
        <v>126</v>
      </c>
      <c r="R27" s="9" t="s">
        <v>139</v>
      </c>
    </row>
    <row r="28" spans="1:18" x14ac:dyDescent="0.25">
      <c r="A28" s="2" t="s">
        <v>34</v>
      </c>
      <c r="B28" s="2" t="s">
        <v>35</v>
      </c>
      <c r="C28" s="2" t="s">
        <v>122</v>
      </c>
      <c r="D28" s="2" t="s">
        <v>140</v>
      </c>
      <c r="E28" s="2" t="s">
        <v>141</v>
      </c>
      <c r="F28" s="2" t="s">
        <v>39</v>
      </c>
      <c r="G28" s="2" t="s">
        <v>119</v>
      </c>
      <c r="H28" s="2" t="s">
        <v>48</v>
      </c>
      <c r="I28" s="3">
        <v>46299.41666666667</v>
      </c>
      <c r="J28" s="2" t="s">
        <v>42</v>
      </c>
      <c r="K28" s="2" t="s">
        <v>125</v>
      </c>
      <c r="L28" s="4">
        <v>80.43</v>
      </c>
      <c r="M28" s="5">
        <f>IF(AND(ISNUMBER(N28),ISNUMBER(L28),L28&gt;0),ROUND(N28/L28,2),"")</f>
        <v>3637.2</v>
      </c>
      <c r="N28" s="6">
        <v>292540.22</v>
      </c>
      <c r="O28" s="7">
        <v>365675.27</v>
      </c>
      <c r="P28" s="8">
        <f>IF(AND(ISNUMBER(N28),ISNUMBER(O28),O28&gt;0),N28/O28,"")</f>
        <v>0.8000000109386669</v>
      </c>
      <c r="Q28" s="2" t="s">
        <v>130</v>
      </c>
      <c r="R28" s="9" t="s">
        <v>142</v>
      </c>
    </row>
    <row r="29" spans="1:18" x14ac:dyDescent="0.25">
      <c r="A29" s="2" t="s">
        <v>34</v>
      </c>
      <c r="B29" s="2" t="s">
        <v>35</v>
      </c>
      <c r="C29" s="2" t="s">
        <v>116</v>
      </c>
      <c r="D29" s="2" t="s">
        <v>143</v>
      </c>
      <c r="E29" s="2" t="s">
        <v>118</v>
      </c>
      <c r="F29" s="2" t="s">
        <v>39</v>
      </c>
      <c r="G29" s="2" t="s">
        <v>119</v>
      </c>
      <c r="H29" s="2" t="s">
        <v>48</v>
      </c>
      <c r="I29" s="3">
        <v>46314.41666666667</v>
      </c>
      <c r="J29" s="2" t="s">
        <v>42</v>
      </c>
      <c r="K29" s="2" t="s">
        <v>120</v>
      </c>
      <c r="L29" s="4">
        <v>142.58</v>
      </c>
      <c r="M29" s="5">
        <f>IF(AND(ISNUMBER(N29),ISNUMBER(L29),L29&gt;0),ROUND(N29/L29,2),"")</f>
        <v>3107.73</v>
      </c>
      <c r="N29" s="6">
        <v>443100</v>
      </c>
      <c r="O29" s="7">
        <v>633000</v>
      </c>
      <c r="P29" s="8">
        <f>IF(AND(ISNUMBER(N29),ISNUMBER(O29),O29&gt;0),N29/O29,"")</f>
        <v>0.7</v>
      </c>
      <c r="Q29" s="9" t="s">
        <v>7</v>
      </c>
      <c r="R29" s="9" t="s">
        <v>144</v>
      </c>
    </row>
    <row r="30" spans="1:18" x14ac:dyDescent="0.25">
      <c r="A30" s="2" t="s">
        <v>34</v>
      </c>
      <c r="B30" s="2" t="s">
        <v>35</v>
      </c>
      <c r="C30" s="2" t="s">
        <v>45</v>
      </c>
      <c r="D30" s="2" t="s">
        <v>145</v>
      </c>
      <c r="E30" s="2" t="s">
        <v>61</v>
      </c>
      <c r="F30" s="2" t="s">
        <v>133</v>
      </c>
      <c r="G30" s="2" t="s">
        <v>119</v>
      </c>
      <c r="H30" s="2" t="s">
        <v>48</v>
      </c>
      <c r="I30" s="3">
        <v>46309.41666666667</v>
      </c>
      <c r="J30" s="2" t="s">
        <v>42</v>
      </c>
      <c r="K30" s="2" t="s">
        <v>49</v>
      </c>
      <c r="L30" s="4">
        <v>46.55</v>
      </c>
      <c r="M30" s="5">
        <f>IF(AND(ISNUMBER(N30),ISNUMBER(L30),L30&gt;0),ROUND(N30/L30,2),"")</f>
        <v>8400</v>
      </c>
      <c r="N30" s="6">
        <v>391020</v>
      </c>
      <c r="O30" s="7">
        <v>558600</v>
      </c>
      <c r="P30" s="8">
        <f>IF(AND(ISNUMBER(N30),ISNUMBER(O30),O30&gt;0),N30/O30,"")</f>
        <v>0.7</v>
      </c>
      <c r="Q30" s="9" t="s">
        <v>7</v>
      </c>
      <c r="R30" s="9" t="s">
        <v>146</v>
      </c>
    </row>
    <row r="31" spans="1:18" x14ac:dyDescent="0.25">
      <c r="A31" s="2" t="s">
        <v>34</v>
      </c>
      <c r="B31" s="2" t="s">
        <v>35</v>
      </c>
      <c r="C31" s="2" t="s">
        <v>45</v>
      </c>
      <c r="D31" s="2" t="s">
        <v>147</v>
      </c>
      <c r="E31" s="2" t="s">
        <v>61</v>
      </c>
      <c r="F31" s="2" t="s">
        <v>133</v>
      </c>
      <c r="G31" s="2" t="s">
        <v>119</v>
      </c>
      <c r="H31" s="2" t="s">
        <v>48</v>
      </c>
      <c r="I31" s="3">
        <v>46309.41666666667</v>
      </c>
      <c r="J31" s="2" t="s">
        <v>42</v>
      </c>
      <c r="K31" s="2" t="s">
        <v>49</v>
      </c>
      <c r="L31" s="4">
        <v>46.55</v>
      </c>
      <c r="M31" s="5">
        <f>IF(AND(ISNUMBER(N31),ISNUMBER(L31),L31&gt;0),ROUND(N31/L31,2),"")</f>
        <v>8400</v>
      </c>
      <c r="N31" s="6">
        <v>391020</v>
      </c>
      <c r="O31" s="7">
        <v>558600</v>
      </c>
      <c r="P31" s="8">
        <f>IF(AND(ISNUMBER(N31),ISNUMBER(O31),O31&gt;0),N31/O31,"")</f>
        <v>0.7</v>
      </c>
      <c r="Q31" s="9" t="s">
        <v>7</v>
      </c>
      <c r="R31" s="9" t="s">
        <v>148</v>
      </c>
    </row>
    <row r="32" spans="1:18" x14ac:dyDescent="0.25">
      <c r="A32" s="2" t="s">
        <v>34</v>
      </c>
      <c r="B32" s="2" t="s">
        <v>35</v>
      </c>
      <c r="C32" s="2" t="s">
        <v>149</v>
      </c>
      <c r="D32" s="2" t="s">
        <v>150</v>
      </c>
      <c r="E32" s="2" t="s">
        <v>151</v>
      </c>
      <c r="F32" s="2" t="s">
        <v>39</v>
      </c>
      <c r="G32" s="2" t="s">
        <v>119</v>
      </c>
      <c r="H32" s="2" t="s">
        <v>48</v>
      </c>
      <c r="I32" s="3">
        <v>46300.41666666667</v>
      </c>
      <c r="J32" s="2" t="s">
        <v>42</v>
      </c>
      <c r="K32" s="2" t="s">
        <v>152</v>
      </c>
      <c r="L32" s="4">
        <v>106.58</v>
      </c>
      <c r="M32" s="5">
        <f>IF(AND(ISNUMBER(N32),ISNUMBER(L32),L32&gt;0),ROUND(N32/L32,2),"")</f>
        <v>3171.33</v>
      </c>
      <c r="N32" s="6">
        <v>338000</v>
      </c>
      <c r="O32" s="7">
        <v>467407</v>
      </c>
      <c r="P32" s="8">
        <f>IF(AND(ISNUMBER(N32),ISNUMBER(O32),O32&gt;0),N32/O32,"")</f>
        <v>0.7231385066975891</v>
      </c>
      <c r="Q32" s="9" t="s">
        <v>7</v>
      </c>
      <c r="R32" s="9" t="s">
        <v>153</v>
      </c>
    </row>
    <row r="33" spans="1:18" x14ac:dyDescent="0.25">
      <c r="A33" s="2" t="s">
        <v>34</v>
      </c>
      <c r="B33" s="2" t="s">
        <v>35</v>
      </c>
      <c r="C33" s="2" t="s">
        <v>122</v>
      </c>
      <c r="D33" s="2" t="s">
        <v>154</v>
      </c>
      <c r="E33" s="2" t="s">
        <v>141</v>
      </c>
      <c r="F33" s="2" t="s">
        <v>39</v>
      </c>
      <c r="G33" s="2" t="s">
        <v>119</v>
      </c>
      <c r="H33" s="2" t="s">
        <v>48</v>
      </c>
      <c r="I33" s="3">
        <v>46299.41666666667</v>
      </c>
      <c r="J33" s="2" t="s">
        <v>42</v>
      </c>
      <c r="K33" s="2" t="s">
        <v>125</v>
      </c>
      <c r="L33" s="4">
        <v>65.45</v>
      </c>
      <c r="M33" s="5">
        <f>IF(AND(ISNUMBER(N33),ISNUMBER(L33),L33&gt;0),ROUND(N33/L33,2),"")</f>
        <v>2986.2</v>
      </c>
      <c r="N33" s="6">
        <v>195447.02</v>
      </c>
      <c r="O33" s="7">
        <v>279210.03</v>
      </c>
      <c r="P33" s="8">
        <f>IF(AND(ISNUMBER(N33),ISNUMBER(O33),O33&gt;0),N33/O33,"")</f>
        <v>0.6999999964184667</v>
      </c>
      <c r="Q33" s="2" t="s">
        <v>155</v>
      </c>
      <c r="R33" s="9" t="s">
        <v>156</v>
      </c>
    </row>
    <row r="34" spans="1:18" x14ac:dyDescent="0.25">
      <c r="A34" s="2" t="s">
        <v>34</v>
      </c>
      <c r="B34" s="2" t="s">
        <v>35</v>
      </c>
      <c r="C34" s="2" t="s">
        <v>116</v>
      </c>
      <c r="D34" s="2" t="s">
        <v>157</v>
      </c>
      <c r="E34" s="2" t="s">
        <v>118</v>
      </c>
      <c r="F34" s="2" t="s">
        <v>39</v>
      </c>
      <c r="G34" s="2" t="s">
        <v>119</v>
      </c>
      <c r="H34" s="2" t="s">
        <v>48</v>
      </c>
      <c r="I34" s="3">
        <v>46314.41666666667</v>
      </c>
      <c r="J34" s="2" t="s">
        <v>42</v>
      </c>
      <c r="K34" s="2" t="s">
        <v>120</v>
      </c>
      <c r="L34" s="4">
        <v>141.03</v>
      </c>
      <c r="M34" s="5">
        <f>IF(AND(ISNUMBER(N34),ISNUMBER(L34),L34&gt;0),ROUND(N34/L34,2),"")</f>
        <v>3077.36</v>
      </c>
      <c r="N34" s="6">
        <v>434000</v>
      </c>
      <c r="O34" s="7">
        <v>620000</v>
      </c>
      <c r="P34" s="8">
        <f>IF(AND(ISNUMBER(N34),ISNUMBER(O34),O34&gt;0),N34/O34,"")</f>
        <v>0.7</v>
      </c>
      <c r="Q34" s="9" t="s">
        <v>7</v>
      </c>
      <c r="R34" s="9" t="s">
        <v>158</v>
      </c>
    </row>
    <row r="35" spans="1:18" x14ac:dyDescent="0.25">
      <c r="A35" s="2" t="s">
        <v>34</v>
      </c>
      <c r="B35" s="2" t="s">
        <v>35</v>
      </c>
      <c r="C35" s="2" t="s">
        <v>45</v>
      </c>
      <c r="D35" s="2" t="s">
        <v>159</v>
      </c>
      <c r="E35" s="2" t="s">
        <v>61</v>
      </c>
      <c r="F35" s="2" t="s">
        <v>133</v>
      </c>
      <c r="G35" s="2" t="s">
        <v>119</v>
      </c>
      <c r="H35" s="2" t="s">
        <v>48</v>
      </c>
      <c r="I35" s="3">
        <v>46309.41666666667</v>
      </c>
      <c r="J35" s="2" t="s">
        <v>42</v>
      </c>
      <c r="K35" s="2" t="s">
        <v>49</v>
      </c>
      <c r="L35" s="4">
        <v>46.55</v>
      </c>
      <c r="M35" s="5">
        <f>IF(AND(ISNUMBER(N35),ISNUMBER(L35),L35&gt;0),ROUND(N35/L35,2),"")</f>
        <v>8400</v>
      </c>
      <c r="N35" s="6">
        <v>391020</v>
      </c>
      <c r="O35" s="7">
        <v>558600</v>
      </c>
      <c r="P35" s="8">
        <f>IF(AND(ISNUMBER(N35),ISNUMBER(O35),O35&gt;0),N35/O35,"")</f>
        <v>0.7</v>
      </c>
      <c r="Q35" s="9" t="s">
        <v>7</v>
      </c>
      <c r="R35" s="9" t="s">
        <v>160</v>
      </c>
    </row>
    <row r="36" spans="1:18" x14ac:dyDescent="0.25">
      <c r="A36" s="2" t="s">
        <v>34</v>
      </c>
      <c r="B36" s="2" t="s">
        <v>35</v>
      </c>
      <c r="C36" s="2" t="s">
        <v>122</v>
      </c>
      <c r="D36" s="2" t="s">
        <v>161</v>
      </c>
      <c r="E36" s="2" t="s">
        <v>141</v>
      </c>
      <c r="F36" s="2" t="s">
        <v>39</v>
      </c>
      <c r="G36" s="2" t="s">
        <v>119</v>
      </c>
      <c r="H36" s="2" t="s">
        <v>48</v>
      </c>
      <c r="I36" s="3">
        <v>46299.41666666667</v>
      </c>
      <c r="J36" s="2" t="s">
        <v>42</v>
      </c>
      <c r="K36" s="2" t="s">
        <v>125</v>
      </c>
      <c r="L36" s="4">
        <v>128.61</v>
      </c>
      <c r="M36" s="5">
        <f>IF(AND(ISNUMBER(N36),ISNUMBER(L36),L36&gt;0),ROUND(N36/L36,2),"")</f>
        <v>3611.2</v>
      </c>
      <c r="N36" s="6">
        <v>464436.73</v>
      </c>
      <c r="O36" s="7">
        <v>580545.91</v>
      </c>
      <c r="P36" s="8">
        <f>IF(AND(ISNUMBER(N36),ISNUMBER(O36),O36&gt;0),N36/O36,"")</f>
        <v>0.8000000034450332</v>
      </c>
      <c r="Q36" s="2" t="s">
        <v>162</v>
      </c>
      <c r="R36" s="9" t="s">
        <v>163</v>
      </c>
    </row>
    <row r="37" spans="1:18" x14ac:dyDescent="0.25">
      <c r="A37" s="2" t="s">
        <v>34</v>
      </c>
      <c r="B37" s="2" t="s">
        <v>35</v>
      </c>
      <c r="C37" s="2" t="s">
        <v>45</v>
      </c>
      <c r="D37" s="2" t="s">
        <v>164</v>
      </c>
      <c r="E37" s="2" t="s">
        <v>61</v>
      </c>
      <c r="F37" s="2" t="s">
        <v>133</v>
      </c>
      <c r="G37" s="2" t="s">
        <v>119</v>
      </c>
      <c r="H37" s="2" t="s">
        <v>48</v>
      </c>
      <c r="I37" s="3">
        <v>46309.41666666667</v>
      </c>
      <c r="J37" s="2" t="s">
        <v>42</v>
      </c>
      <c r="K37" s="2" t="s">
        <v>49</v>
      </c>
      <c r="L37" s="4">
        <v>46.55</v>
      </c>
      <c r="M37" s="5">
        <f>IF(AND(ISNUMBER(N37),ISNUMBER(L37),L37&gt;0),ROUND(N37/L37,2),"")</f>
        <v>8400</v>
      </c>
      <c r="N37" s="6">
        <v>391020</v>
      </c>
      <c r="O37" s="7">
        <v>558600</v>
      </c>
      <c r="P37" s="8">
        <f>IF(AND(ISNUMBER(N37),ISNUMBER(O37),O37&gt;0),N37/O37,"")</f>
        <v>0.7</v>
      </c>
      <c r="Q37" s="9" t="s">
        <v>7</v>
      </c>
      <c r="R37" s="9" t="s">
        <v>165</v>
      </c>
    </row>
    <row r="38" spans="1:18" x14ac:dyDescent="0.25">
      <c r="A38" s="2" t="s">
        <v>34</v>
      </c>
      <c r="B38" s="2" t="s">
        <v>35</v>
      </c>
      <c r="C38" s="2" t="s">
        <v>45</v>
      </c>
      <c r="D38" s="2" t="s">
        <v>166</v>
      </c>
      <c r="E38" s="2" t="s">
        <v>61</v>
      </c>
      <c r="F38" s="2" t="s">
        <v>133</v>
      </c>
      <c r="G38" s="2" t="s">
        <v>119</v>
      </c>
      <c r="H38" s="2" t="s">
        <v>48</v>
      </c>
      <c r="I38" s="3">
        <v>46309.41666666667</v>
      </c>
      <c r="J38" s="2" t="s">
        <v>42</v>
      </c>
      <c r="K38" s="2" t="s">
        <v>49</v>
      </c>
      <c r="L38" s="4">
        <v>46.55</v>
      </c>
      <c r="M38" s="5">
        <f>IF(AND(ISNUMBER(N38),ISNUMBER(L38),L38&gt;0),ROUND(N38/L38,2),"")</f>
        <v>8400</v>
      </c>
      <c r="N38" s="6">
        <v>391020</v>
      </c>
      <c r="O38" s="7">
        <v>558600</v>
      </c>
      <c r="P38" s="8">
        <f>IF(AND(ISNUMBER(N38),ISNUMBER(O38),O38&gt;0),N38/O38,"")</f>
        <v>0.7</v>
      </c>
      <c r="Q38" s="9" t="s">
        <v>7</v>
      </c>
      <c r="R38" s="9" t="s">
        <v>167</v>
      </c>
    </row>
    <row r="39" spans="1:18" x14ac:dyDescent="0.25">
      <c r="A39" s="2" t="s">
        <v>34</v>
      </c>
      <c r="B39" s="2" t="s">
        <v>35</v>
      </c>
      <c r="C39" s="2" t="s">
        <v>116</v>
      </c>
      <c r="D39" s="2" t="s">
        <v>168</v>
      </c>
      <c r="E39" s="2" t="s">
        <v>118</v>
      </c>
      <c r="F39" s="2" t="s">
        <v>39</v>
      </c>
      <c r="G39" s="2" t="s">
        <v>119</v>
      </c>
      <c r="H39" s="2" t="s">
        <v>48</v>
      </c>
      <c r="I39" s="3">
        <v>46314.41666666667</v>
      </c>
      <c r="J39" s="2" t="s">
        <v>42</v>
      </c>
      <c r="K39" s="2" t="s">
        <v>120</v>
      </c>
      <c r="L39" s="4">
        <v>141.03</v>
      </c>
      <c r="M39" s="5">
        <f>IF(AND(ISNUMBER(N39),ISNUMBER(L39),L39&gt;0),ROUND(N39/L39,2),"")</f>
        <v>3097.21</v>
      </c>
      <c r="N39" s="6">
        <v>436800</v>
      </c>
      <c r="O39" s="7">
        <v>624000</v>
      </c>
      <c r="P39" s="8">
        <f>IF(AND(ISNUMBER(N39),ISNUMBER(O39),O39&gt;0),N39/O39,"")</f>
        <v>0.7</v>
      </c>
      <c r="Q39" s="9" t="s">
        <v>7</v>
      </c>
      <c r="R39" s="9" t="s">
        <v>169</v>
      </c>
    </row>
    <row r="40" spans="1:18" x14ac:dyDescent="0.25">
      <c r="A40" s="2" t="s">
        <v>34</v>
      </c>
      <c r="B40" s="2" t="s">
        <v>35</v>
      </c>
      <c r="C40" s="2" t="s">
        <v>116</v>
      </c>
      <c r="D40" s="2" t="s">
        <v>170</v>
      </c>
      <c r="E40" s="2" t="s">
        <v>118</v>
      </c>
      <c r="F40" s="2" t="s">
        <v>39</v>
      </c>
      <c r="G40" s="2" t="s">
        <v>119</v>
      </c>
      <c r="H40" s="2" t="s">
        <v>48</v>
      </c>
      <c r="I40" s="3">
        <v>46314.41666666667</v>
      </c>
      <c r="J40" s="2" t="s">
        <v>42</v>
      </c>
      <c r="K40" s="2" t="s">
        <v>120</v>
      </c>
      <c r="L40" s="4">
        <v>141.33</v>
      </c>
      <c r="M40" s="5">
        <f>IF(AND(ISNUMBER(N40),ISNUMBER(L40),L40&gt;0),ROUND(N40/L40,2),"")</f>
        <v>3125.31</v>
      </c>
      <c r="N40" s="6">
        <v>441700</v>
      </c>
      <c r="O40" s="7">
        <v>631000</v>
      </c>
      <c r="P40" s="8">
        <f>IF(AND(ISNUMBER(N40),ISNUMBER(O40),O40&gt;0),N40/O40,"")</f>
        <v>0.7</v>
      </c>
      <c r="Q40" s="9" t="s">
        <v>7</v>
      </c>
      <c r="R40" s="9" t="s">
        <v>171</v>
      </c>
    </row>
    <row r="41" spans="1:18" x14ac:dyDescent="0.25">
      <c r="A41" s="2" t="s">
        <v>34</v>
      </c>
      <c r="B41" s="2" t="s">
        <v>35</v>
      </c>
      <c r="C41" s="2" t="s">
        <v>116</v>
      </c>
      <c r="D41" s="2" t="s">
        <v>172</v>
      </c>
      <c r="E41" s="2" t="s">
        <v>118</v>
      </c>
      <c r="F41" s="2" t="s">
        <v>39</v>
      </c>
      <c r="G41" s="2" t="s">
        <v>119</v>
      </c>
      <c r="H41" s="2" t="s">
        <v>48</v>
      </c>
      <c r="I41" s="3">
        <v>46314.41666666667</v>
      </c>
      <c r="J41" s="2" t="s">
        <v>42</v>
      </c>
      <c r="K41" s="2" t="s">
        <v>120</v>
      </c>
      <c r="L41" s="4">
        <v>119.59</v>
      </c>
      <c r="M41" s="5">
        <f>IF(AND(ISNUMBER(N41),ISNUMBER(L41),L41&gt;0),ROUND(N41/L41,2),"")</f>
        <v>3119.83</v>
      </c>
      <c r="N41" s="6">
        <v>373100</v>
      </c>
      <c r="O41" s="7">
        <v>533000</v>
      </c>
      <c r="P41" s="8">
        <f>IF(AND(ISNUMBER(N41),ISNUMBER(O41),O41&gt;0),N41/O41,"")</f>
        <v>0.7</v>
      </c>
      <c r="Q41" s="9" t="s">
        <v>7</v>
      </c>
      <c r="R41" s="9" t="s">
        <v>173</v>
      </c>
    </row>
    <row r="42" spans="1:18" x14ac:dyDescent="0.25">
      <c r="A42" s="2" t="s">
        <v>34</v>
      </c>
      <c r="B42" s="2" t="s">
        <v>35</v>
      </c>
      <c r="C42" s="2" t="s">
        <v>122</v>
      </c>
      <c r="D42" s="2" t="s">
        <v>174</v>
      </c>
      <c r="E42" s="2" t="s">
        <v>175</v>
      </c>
      <c r="F42" s="2" t="s">
        <v>39</v>
      </c>
      <c r="G42" s="2" t="s">
        <v>119</v>
      </c>
      <c r="H42" s="2" t="s">
        <v>78</v>
      </c>
      <c r="I42" s="3">
        <v>46283.41666666667</v>
      </c>
      <c r="J42" s="2" t="s">
        <v>42</v>
      </c>
      <c r="K42" s="2" t="s">
        <v>125</v>
      </c>
      <c r="L42" s="4">
        <v>62.36</v>
      </c>
      <c r="M42" s="5">
        <f>IF(AND(ISNUMBER(N42),ISNUMBER(L42),L42&gt;0),ROUND(N42/L42,2),"")</f>
        <v>4071.83</v>
      </c>
      <c r="N42" s="6">
        <v>253919.49</v>
      </c>
      <c r="O42" s="7">
        <v>453427.66</v>
      </c>
      <c r="P42" s="8">
        <f>IF(AND(ISNUMBER(N42),ISNUMBER(O42),O42&gt;0),N42/O42,"")</f>
        <v>0.5600000008821694</v>
      </c>
      <c r="Q42" s="2" t="s">
        <v>130</v>
      </c>
      <c r="R42" s="9" t="s">
        <v>176</v>
      </c>
    </row>
    <row r="43" spans="1:18" x14ac:dyDescent="0.25">
      <c r="A43" s="2" t="s">
        <v>34</v>
      </c>
      <c r="B43" s="2" t="s">
        <v>35</v>
      </c>
      <c r="C43" s="2" t="s">
        <v>45</v>
      </c>
      <c r="D43" s="2" t="s">
        <v>177</v>
      </c>
      <c r="E43" s="2" t="s">
        <v>178</v>
      </c>
      <c r="F43" s="2" t="s">
        <v>39</v>
      </c>
      <c r="G43" s="2" t="s">
        <v>119</v>
      </c>
      <c r="H43" s="2" t="s">
        <v>48</v>
      </c>
      <c r="I43" s="3">
        <v>46310.41666666667</v>
      </c>
      <c r="J43" s="2" t="s">
        <v>42</v>
      </c>
      <c r="K43" s="2" t="s">
        <v>49</v>
      </c>
      <c r="L43" s="4">
        <v>99.52</v>
      </c>
      <c r="M43" s="5">
        <f>IF(AND(ISNUMBER(N43),ISNUMBER(L43),L43&gt;0),ROUND(N43/L43,2),"")</f>
        <v>9637.96</v>
      </c>
      <c r="N43" s="6">
        <v>959170</v>
      </c>
      <c r="O43" s="7">
        <v>1370242</v>
      </c>
      <c r="P43" s="8">
        <f>IF(AND(ISNUMBER(N43),ISNUMBER(O43),O43&gt;0),N43/O43,"")</f>
        <v>0.7000004378788565</v>
      </c>
      <c r="Q43" s="9" t="s">
        <v>7</v>
      </c>
      <c r="R43" s="9" t="s">
        <v>179</v>
      </c>
    </row>
    <row r="44" spans="1:18" x14ac:dyDescent="0.25">
      <c r="A44" s="2" t="s">
        <v>34</v>
      </c>
      <c r="B44" s="2" t="s">
        <v>35</v>
      </c>
      <c r="C44" s="2" t="s">
        <v>116</v>
      </c>
      <c r="D44" s="2" t="s">
        <v>180</v>
      </c>
      <c r="E44" s="2" t="s">
        <v>118</v>
      </c>
      <c r="F44" s="2" t="s">
        <v>39</v>
      </c>
      <c r="G44" s="2" t="s">
        <v>119</v>
      </c>
      <c r="H44" s="2" t="s">
        <v>48</v>
      </c>
      <c r="I44" s="3">
        <v>46314.41666666667</v>
      </c>
      <c r="J44" s="2" t="s">
        <v>42</v>
      </c>
      <c r="K44" s="2" t="s">
        <v>120</v>
      </c>
      <c r="L44" s="4">
        <v>141.33</v>
      </c>
      <c r="M44" s="5">
        <f>IF(AND(ISNUMBER(N44),ISNUMBER(L44),L44&gt;0),ROUND(N44/L44,2),"")</f>
        <v>3159.98</v>
      </c>
      <c r="N44" s="6">
        <v>446600</v>
      </c>
      <c r="O44" s="7">
        <v>638000</v>
      </c>
      <c r="P44" s="8">
        <f>IF(AND(ISNUMBER(N44),ISNUMBER(O44),O44&gt;0),N44/O44,"")</f>
        <v>0.7</v>
      </c>
      <c r="Q44" s="9" t="s">
        <v>7</v>
      </c>
      <c r="R44" s="9" t="s">
        <v>181</v>
      </c>
    </row>
    <row r="45" spans="1:18" x14ac:dyDescent="0.25">
      <c r="A45" s="2" t="s">
        <v>34</v>
      </c>
      <c r="B45" s="2" t="s">
        <v>35</v>
      </c>
      <c r="C45" s="2" t="s">
        <v>116</v>
      </c>
      <c r="D45" s="2" t="s">
        <v>182</v>
      </c>
      <c r="E45" s="2" t="s">
        <v>118</v>
      </c>
      <c r="F45" s="2" t="s">
        <v>39</v>
      </c>
      <c r="G45" s="2" t="s">
        <v>119</v>
      </c>
      <c r="H45" s="2" t="s">
        <v>48</v>
      </c>
      <c r="I45" s="3">
        <v>46314.41666666667</v>
      </c>
      <c r="J45" s="2" t="s">
        <v>42</v>
      </c>
      <c r="K45" s="2" t="s">
        <v>120</v>
      </c>
      <c r="L45" s="4">
        <v>141.33</v>
      </c>
      <c r="M45" s="5">
        <f>IF(AND(ISNUMBER(N45),ISNUMBER(L45),L45&gt;0),ROUND(N45/L45,2),"")</f>
        <v>3140.17</v>
      </c>
      <c r="N45" s="6">
        <v>443800</v>
      </c>
      <c r="O45" s="7">
        <v>634000</v>
      </c>
      <c r="P45" s="8">
        <f>IF(AND(ISNUMBER(N45),ISNUMBER(O45),O45&gt;0),N45/O45,"")</f>
        <v>0.7</v>
      </c>
      <c r="Q45" s="9" t="s">
        <v>7</v>
      </c>
      <c r="R45" s="9" t="s">
        <v>183</v>
      </c>
    </row>
    <row r="46" spans="1:18" x14ac:dyDescent="0.25">
      <c r="A46" s="2" t="s">
        <v>34</v>
      </c>
      <c r="B46" s="2" t="s">
        <v>35</v>
      </c>
      <c r="C46" s="2" t="s">
        <v>63</v>
      </c>
      <c r="D46" s="2" t="s">
        <v>184</v>
      </c>
      <c r="E46" s="2" t="s">
        <v>185</v>
      </c>
      <c r="F46" s="2" t="s">
        <v>39</v>
      </c>
      <c r="G46" s="2" t="s">
        <v>119</v>
      </c>
      <c r="H46" s="2" t="s">
        <v>41</v>
      </c>
      <c r="I46" s="3">
        <v>46294.41666666667</v>
      </c>
      <c r="J46" s="2" t="s">
        <v>42</v>
      </c>
      <c r="K46" s="2" t="s">
        <v>49</v>
      </c>
      <c r="L46" s="4">
        <v>144.32</v>
      </c>
      <c r="M46" s="5">
        <f>IF(AND(ISNUMBER(N46),ISNUMBER(L46),L46&gt;0),ROUND(N46/L46,2),"")</f>
        <v>7678.46</v>
      </c>
      <c r="N46" s="6">
        <v>1108155</v>
      </c>
      <c r="O46" s="7">
        <v>1978845</v>
      </c>
      <c r="P46" s="8">
        <f>IF(AND(ISNUMBER(N46),ISNUMBER(O46),O46&gt;0),N46/O46,"")</f>
        <v>0.5600009096215216</v>
      </c>
      <c r="Q46" s="9" t="s">
        <v>7</v>
      </c>
      <c r="R46" s="9" t="s">
        <v>186</v>
      </c>
    </row>
    <row r="47" spans="1:18" x14ac:dyDescent="0.25">
      <c r="A47" s="2" t="s">
        <v>34</v>
      </c>
      <c r="B47" s="2" t="s">
        <v>35</v>
      </c>
      <c r="C47" s="2" t="s">
        <v>116</v>
      </c>
      <c r="D47" s="2" t="s">
        <v>187</v>
      </c>
      <c r="E47" s="2" t="s">
        <v>118</v>
      </c>
      <c r="F47" s="2" t="s">
        <v>39</v>
      </c>
      <c r="G47" s="2" t="s">
        <v>119</v>
      </c>
      <c r="H47" s="2" t="s">
        <v>48</v>
      </c>
      <c r="I47" s="3">
        <v>46314.41666666667</v>
      </c>
      <c r="J47" s="2" t="s">
        <v>42</v>
      </c>
      <c r="K47" s="2" t="s">
        <v>120</v>
      </c>
      <c r="L47" s="4">
        <v>142.58</v>
      </c>
      <c r="M47" s="5">
        <f>IF(AND(ISNUMBER(N47),ISNUMBER(L47),L47&gt;0),ROUND(N47/L47,2),"")</f>
        <v>3156.82</v>
      </c>
      <c r="N47" s="6">
        <v>450100</v>
      </c>
      <c r="O47" s="7">
        <v>643000</v>
      </c>
      <c r="P47" s="8">
        <f>IF(AND(ISNUMBER(N47),ISNUMBER(O47),O47&gt;0),N47/O47,"")</f>
        <v>0.7</v>
      </c>
      <c r="Q47" s="9" t="s">
        <v>7</v>
      </c>
      <c r="R47" s="9" t="s">
        <v>188</v>
      </c>
    </row>
    <row r="48" spans="1:18" x14ac:dyDescent="0.25">
      <c r="A48" s="2" t="s">
        <v>34</v>
      </c>
      <c r="B48" s="2" t="s">
        <v>35</v>
      </c>
      <c r="C48" s="2" t="s">
        <v>45</v>
      </c>
      <c r="D48" s="2" t="s">
        <v>189</v>
      </c>
      <c r="E48" s="2" t="s">
        <v>61</v>
      </c>
      <c r="F48" s="2" t="s">
        <v>133</v>
      </c>
      <c r="G48" s="2" t="s">
        <v>119</v>
      </c>
      <c r="H48" s="2" t="s">
        <v>48</v>
      </c>
      <c r="I48" s="3">
        <v>46309.41666666667</v>
      </c>
      <c r="J48" s="2" t="s">
        <v>42</v>
      </c>
      <c r="K48" s="2" t="s">
        <v>49</v>
      </c>
      <c r="L48" s="4">
        <v>46.55</v>
      </c>
      <c r="M48" s="5">
        <f>IF(AND(ISNUMBER(N48),ISNUMBER(L48),L48&gt;0),ROUND(N48/L48,2),"")</f>
        <v>8400</v>
      </c>
      <c r="N48" s="6">
        <v>391020</v>
      </c>
      <c r="O48" s="7">
        <v>558600</v>
      </c>
      <c r="P48" s="8">
        <f>IF(AND(ISNUMBER(N48),ISNUMBER(O48),O48&gt;0),N48/O48,"")</f>
        <v>0.7</v>
      </c>
      <c r="Q48" s="9" t="s">
        <v>7</v>
      </c>
      <c r="R48" s="9" t="s">
        <v>190</v>
      </c>
    </row>
    <row r="49" spans="1:18" x14ac:dyDescent="0.25">
      <c r="A49" s="2" t="s">
        <v>34</v>
      </c>
      <c r="B49" s="2" t="s">
        <v>35</v>
      </c>
      <c r="C49" s="2" t="s">
        <v>191</v>
      </c>
      <c r="D49" s="2" t="s">
        <v>192</v>
      </c>
      <c r="E49" s="2" t="s">
        <v>193</v>
      </c>
      <c r="F49" s="2" t="s">
        <v>39</v>
      </c>
      <c r="G49" s="2" t="s">
        <v>119</v>
      </c>
      <c r="H49" s="2" t="s">
        <v>48</v>
      </c>
      <c r="I49" s="3">
        <v>46304.41666666667</v>
      </c>
      <c r="J49" s="2" t="s">
        <v>42</v>
      </c>
      <c r="K49" s="2" t="s">
        <v>53</v>
      </c>
      <c r="L49" s="4">
        <v>99.91</v>
      </c>
      <c r="M49" s="5">
        <f>IF(AND(ISNUMBER(N49),ISNUMBER(L49),L49&gt;0),ROUND(N49/L49,2),"")</f>
        <v>6605.95</v>
      </c>
      <c r="N49" s="6">
        <v>660000</v>
      </c>
      <c r="O49" s="7">
        <v>939553.79</v>
      </c>
      <c r="P49" s="8">
        <f>IF(AND(ISNUMBER(N49),ISNUMBER(O49),O49&gt;0),N49/O49,"")</f>
        <v>0.7024611118858879</v>
      </c>
      <c r="Q49" s="9" t="s">
        <v>7</v>
      </c>
      <c r="R49" s="9" t="s">
        <v>194</v>
      </c>
    </row>
    <row r="50" spans="1:18" x14ac:dyDescent="0.25">
      <c r="A50" s="2" t="s">
        <v>34</v>
      </c>
      <c r="B50" s="2" t="s">
        <v>35</v>
      </c>
      <c r="C50" s="2" t="s">
        <v>67</v>
      </c>
      <c r="D50" s="2" t="s">
        <v>195</v>
      </c>
      <c r="E50" s="2" t="s">
        <v>196</v>
      </c>
      <c r="F50" s="2" t="s">
        <v>39</v>
      </c>
      <c r="G50" s="2" t="s">
        <v>119</v>
      </c>
      <c r="H50" s="2" t="s">
        <v>48</v>
      </c>
      <c r="I50" s="3">
        <v>46304.41666666667</v>
      </c>
      <c r="J50" s="2" t="s">
        <v>42</v>
      </c>
      <c r="K50" s="2" t="s">
        <v>53</v>
      </c>
      <c r="L50" s="4">
        <v>120.74</v>
      </c>
      <c r="M50" s="5">
        <f>IF(AND(ISNUMBER(N50),ISNUMBER(L50),L50&gt;0),ROUND(N50/L50,2),"")</f>
        <v>9110.49</v>
      </c>
      <c r="N50" s="6">
        <v>1100000</v>
      </c>
      <c r="O50" s="7">
        <v>1554787.14</v>
      </c>
      <c r="P50" s="8">
        <f>IF(AND(ISNUMBER(N50),ISNUMBER(O50),O50&gt;0),N50/O50,"")</f>
        <v>0.7074923452222535</v>
      </c>
      <c r="Q50" s="2" t="s">
        <v>162</v>
      </c>
      <c r="R50" s="9" t="s">
        <v>197</v>
      </c>
    </row>
    <row r="51" spans="1:18" x14ac:dyDescent="0.25">
      <c r="A51" s="2" t="s">
        <v>34</v>
      </c>
      <c r="B51" s="2" t="s">
        <v>35</v>
      </c>
      <c r="C51" s="2" t="s">
        <v>67</v>
      </c>
      <c r="D51" s="2" t="s">
        <v>198</v>
      </c>
      <c r="E51" s="2" t="s">
        <v>199</v>
      </c>
      <c r="F51" s="2" t="s">
        <v>39</v>
      </c>
      <c r="G51" s="2" t="s">
        <v>119</v>
      </c>
      <c r="H51" s="2" t="s">
        <v>41</v>
      </c>
      <c r="I51" s="3">
        <v>46286.41666666667</v>
      </c>
      <c r="J51" s="2" t="s">
        <v>42</v>
      </c>
      <c r="K51" s="2" t="s">
        <v>200</v>
      </c>
      <c r="L51" s="4">
        <v>80.57</v>
      </c>
      <c r="M51" s="5">
        <f>IF(AND(ISNUMBER(N51),ISNUMBER(L51),L51&gt;0),ROUND(N51/L51,2),"")</f>
        <v>2854.66</v>
      </c>
      <c r="N51" s="6">
        <v>230000</v>
      </c>
      <c r="O51" s="7">
        <v>404864</v>
      </c>
      <c r="P51" s="8">
        <f>IF(AND(ISNUMBER(N51),ISNUMBER(O51),O51&gt;0),N51/O51,"")</f>
        <v>0.5680920012646222</v>
      </c>
      <c r="Q51" s="9" t="s">
        <v>7</v>
      </c>
      <c r="R51" s="9" t="s">
        <v>201</v>
      </c>
    </row>
    <row r="52" spans="1:18" x14ac:dyDescent="0.25">
      <c r="A52" s="2" t="s">
        <v>34</v>
      </c>
      <c r="B52" s="2" t="s">
        <v>35</v>
      </c>
      <c r="C52" s="2" t="s">
        <v>36</v>
      </c>
      <c r="D52" s="2" t="s">
        <v>202</v>
      </c>
      <c r="E52" s="2" t="s">
        <v>38</v>
      </c>
      <c r="F52" s="2" t="s">
        <v>73</v>
      </c>
      <c r="G52" s="2" t="s">
        <v>119</v>
      </c>
      <c r="H52" s="2" t="s">
        <v>78</v>
      </c>
      <c r="I52" s="3">
        <v>46289.41666666667</v>
      </c>
      <c r="J52" s="2" t="s">
        <v>42</v>
      </c>
      <c r="K52" s="2" t="s">
        <v>49</v>
      </c>
      <c r="L52" s="4">
        <v>27.73</v>
      </c>
      <c r="M52" s="5">
        <f>IF(AND(ISNUMBER(N52),ISNUMBER(L52),L52&gt;0),ROUND(N52/L52,2),"")</f>
        <v>3606.2</v>
      </c>
      <c r="N52" s="6">
        <v>100000</v>
      </c>
      <c r="O52" s="7">
        <v>110000</v>
      </c>
      <c r="P52" s="8">
        <f>IF(AND(ISNUMBER(N52),ISNUMBER(O52),O52&gt;0),N52/O52,"")</f>
        <v>0.9090909090909091</v>
      </c>
      <c r="Q52" s="9" t="s">
        <v>7</v>
      </c>
      <c r="R52" s="9" t="s">
        <v>203</v>
      </c>
    </row>
    <row r="53" spans="1:18" x14ac:dyDescent="0.25">
      <c r="A53" s="2" t="s">
        <v>34</v>
      </c>
      <c r="B53" s="2" t="s">
        <v>35</v>
      </c>
      <c r="C53" s="2" t="s">
        <v>67</v>
      </c>
      <c r="D53" s="2" t="s">
        <v>204</v>
      </c>
      <c r="E53" s="2" t="s">
        <v>199</v>
      </c>
      <c r="F53" s="2" t="s">
        <v>39</v>
      </c>
      <c r="G53" s="2" t="s">
        <v>119</v>
      </c>
      <c r="H53" s="2" t="s">
        <v>41</v>
      </c>
      <c r="I53" s="3">
        <v>46286.41666666667</v>
      </c>
      <c r="J53" s="2" t="s">
        <v>42</v>
      </c>
      <c r="K53" s="2" t="s">
        <v>200</v>
      </c>
      <c r="L53" s="4">
        <v>80.8</v>
      </c>
      <c r="M53" s="5">
        <f>IF(AND(ISNUMBER(N53),ISNUMBER(L53),L53&gt;0),ROUND(N53/L53,2),"")</f>
        <v>2970.3</v>
      </c>
      <c r="N53" s="6">
        <v>240000</v>
      </c>
      <c r="O53" s="7">
        <v>422826</v>
      </c>
      <c r="P53" s="8">
        <f>IF(AND(ISNUMBER(N53),ISNUMBER(O53),O53&gt;0),N53/O53,"")</f>
        <v>0.567609371230719</v>
      </c>
      <c r="Q53" s="9" t="s">
        <v>7</v>
      </c>
      <c r="R53" s="9" t="s">
        <v>205</v>
      </c>
    </row>
    <row r="54" spans="1:18" x14ac:dyDescent="0.25">
      <c r="A54" s="2" t="s">
        <v>34</v>
      </c>
      <c r="B54" s="2" t="s">
        <v>35</v>
      </c>
      <c r="C54" s="2" t="s">
        <v>63</v>
      </c>
      <c r="D54" s="2" t="s">
        <v>206</v>
      </c>
      <c r="E54" s="2" t="s">
        <v>207</v>
      </c>
      <c r="F54" s="2" t="s">
        <v>39</v>
      </c>
      <c r="G54" s="2" t="s">
        <v>119</v>
      </c>
      <c r="H54" s="2" t="s">
        <v>41</v>
      </c>
      <c r="I54" s="3">
        <v>46289.41666666667</v>
      </c>
      <c r="J54" s="2" t="s">
        <v>42</v>
      </c>
      <c r="K54" s="2" t="s">
        <v>49</v>
      </c>
      <c r="L54" s="4">
        <v>60.37</v>
      </c>
      <c r="M54" s="5">
        <f>IF(AND(ISNUMBER(N54),ISNUMBER(L54),L54&gt;0),ROUND(N54/L54,2),"")</f>
        <v>6720.01</v>
      </c>
      <c r="N54" s="6">
        <v>405687</v>
      </c>
      <c r="O54" s="7">
        <v>724440</v>
      </c>
      <c r="P54" s="8">
        <f>IF(AND(ISNUMBER(N54),ISNUMBER(O54),O54&gt;0),N54/O54,"")</f>
        <v>0.56000082822594</v>
      </c>
      <c r="Q54" s="9" t="s">
        <v>7</v>
      </c>
      <c r="R54" s="9" t="s">
        <v>208</v>
      </c>
    </row>
    <row r="55" spans="1:18" x14ac:dyDescent="0.25">
      <c r="A55" s="2" t="s">
        <v>34</v>
      </c>
      <c r="B55" s="2" t="s">
        <v>35</v>
      </c>
      <c r="C55" s="2" t="s">
        <v>67</v>
      </c>
      <c r="D55" s="2" t="s">
        <v>209</v>
      </c>
      <c r="E55" s="2" t="s">
        <v>210</v>
      </c>
      <c r="F55" s="2" t="s">
        <v>39</v>
      </c>
      <c r="G55" s="2" t="s">
        <v>119</v>
      </c>
      <c r="H55" s="2" t="s">
        <v>41</v>
      </c>
      <c r="I55" s="3">
        <v>46286.41666666667</v>
      </c>
      <c r="J55" s="2" t="s">
        <v>42</v>
      </c>
      <c r="K55" s="2" t="s">
        <v>200</v>
      </c>
      <c r="L55" s="4">
        <v>112.02</v>
      </c>
      <c r="M55" s="5">
        <f>IF(AND(ISNUMBER(N55),ISNUMBER(L55),L55&gt;0),ROUND(N55/L55,2),"")</f>
        <v>4106.41</v>
      </c>
      <c r="N55" s="6">
        <v>460000</v>
      </c>
      <c r="O55" s="7">
        <v>810000</v>
      </c>
      <c r="P55" s="8">
        <f>IF(AND(ISNUMBER(N55),ISNUMBER(O55),O55&gt;0),N55/O55,"")</f>
        <v>0.5679012345679012</v>
      </c>
      <c r="Q55" s="2" t="s">
        <v>126</v>
      </c>
      <c r="R55" s="9" t="s">
        <v>211</v>
      </c>
    </row>
    <row r="56" spans="1:18" x14ac:dyDescent="0.25">
      <c r="A56" s="2" t="s">
        <v>34</v>
      </c>
      <c r="B56" s="2" t="s">
        <v>35</v>
      </c>
      <c r="C56" s="2" t="s">
        <v>116</v>
      </c>
      <c r="D56" s="2" t="s">
        <v>212</v>
      </c>
      <c r="E56" s="2" t="s">
        <v>213</v>
      </c>
      <c r="F56" s="2" t="s">
        <v>73</v>
      </c>
      <c r="G56" s="2" t="s">
        <v>119</v>
      </c>
      <c r="H56" s="2" t="s">
        <v>48</v>
      </c>
      <c r="I56" s="3">
        <v>46308.41666666667</v>
      </c>
      <c r="J56" s="2" t="s">
        <v>42</v>
      </c>
      <c r="K56" s="2" t="s">
        <v>120</v>
      </c>
      <c r="L56" s="4">
        <v>174.15</v>
      </c>
      <c r="M56" s="5">
        <f>IF(AND(ISNUMBER(N56),ISNUMBER(L56),L56&gt;0),ROUND(N56/L56,2),"")</f>
        <v>6109.68</v>
      </c>
      <c r="N56" s="6">
        <v>1064000</v>
      </c>
      <c r="O56" s="7">
        <v>1520000</v>
      </c>
      <c r="P56" s="8">
        <f>IF(AND(ISNUMBER(N56),ISNUMBER(O56),O56&gt;0),N56/O56,"")</f>
        <v>0.7</v>
      </c>
      <c r="Q56" s="2" t="s">
        <v>214</v>
      </c>
      <c r="R56" s="9" t="s">
        <v>215</v>
      </c>
    </row>
    <row r="57" spans="1:18" x14ac:dyDescent="0.25">
      <c r="A57" s="2" t="s">
        <v>34</v>
      </c>
      <c r="B57" s="2" t="s">
        <v>35</v>
      </c>
      <c r="C57" s="2" t="s">
        <v>116</v>
      </c>
      <c r="D57" s="2" t="s">
        <v>216</v>
      </c>
      <c r="E57" s="2" t="s">
        <v>217</v>
      </c>
      <c r="F57" s="2" t="s">
        <v>73</v>
      </c>
      <c r="G57" s="2" t="s">
        <v>119</v>
      </c>
      <c r="H57" s="2" t="s">
        <v>48</v>
      </c>
      <c r="I57" s="3">
        <v>46308.41666666667</v>
      </c>
      <c r="J57" s="2" t="s">
        <v>42</v>
      </c>
      <c r="K57" s="2" t="s">
        <v>120</v>
      </c>
      <c r="L57" s="4">
        <v>142.68</v>
      </c>
      <c r="M57" s="5">
        <f>IF(AND(ISNUMBER(N57),ISNUMBER(L57),L57&gt;0),ROUND(N57/L57,2),"")</f>
        <v>12662.6</v>
      </c>
      <c r="N57" s="6">
        <v>1806700</v>
      </c>
      <c r="O57" s="7">
        <v>2581000</v>
      </c>
      <c r="P57" s="8">
        <f>IF(AND(ISNUMBER(N57),ISNUMBER(O57),O57&gt;0),N57/O57,"")</f>
        <v>0.7</v>
      </c>
      <c r="Q57" s="2" t="s">
        <v>218</v>
      </c>
      <c r="R57" s="9" t="s">
        <v>219</v>
      </c>
    </row>
    <row r="58" spans="1:18" x14ac:dyDescent="0.25">
      <c r="A58" s="2" t="s">
        <v>34</v>
      </c>
      <c r="B58" s="2" t="s">
        <v>35</v>
      </c>
      <c r="C58" s="2" t="s">
        <v>45</v>
      </c>
      <c r="D58" s="2" t="s">
        <v>220</v>
      </c>
      <c r="E58" s="2" t="s">
        <v>221</v>
      </c>
      <c r="F58" s="2" t="s">
        <v>39</v>
      </c>
      <c r="G58" s="2" t="s">
        <v>119</v>
      </c>
      <c r="H58" s="2" t="s">
        <v>41</v>
      </c>
      <c r="I58" s="3">
        <v>46294.41666666667</v>
      </c>
      <c r="J58" s="2" t="s">
        <v>42</v>
      </c>
      <c r="K58" s="2" t="s">
        <v>49</v>
      </c>
      <c r="L58" s="4">
        <v>204.29</v>
      </c>
      <c r="M58" s="5">
        <f>IF(AND(ISNUMBER(N58),ISNUMBER(L58),L58&gt;0),ROUND(N58/L58,2),"")</f>
        <v>16800</v>
      </c>
      <c r="N58" s="6">
        <v>3432072</v>
      </c>
      <c r="O58" s="7">
        <v>6128700</v>
      </c>
      <c r="P58" s="8">
        <f>IF(AND(ISNUMBER(N58),ISNUMBER(O58),O58&gt;0),N58/O58,"")</f>
        <v>0.56</v>
      </c>
      <c r="Q58" s="9" t="s">
        <v>7</v>
      </c>
      <c r="R58" s="9" t="s">
        <v>222</v>
      </c>
    </row>
    <row r="59" spans="1:18" x14ac:dyDescent="0.25">
      <c r="A59" s="2" t="s">
        <v>34</v>
      </c>
      <c r="B59" s="2" t="s">
        <v>35</v>
      </c>
      <c r="C59" s="2" t="s">
        <v>45</v>
      </c>
      <c r="D59" s="2" t="s">
        <v>223</v>
      </c>
      <c r="E59" s="2" t="s">
        <v>224</v>
      </c>
      <c r="F59" s="2" t="s">
        <v>39</v>
      </c>
      <c r="G59" s="2" t="s">
        <v>119</v>
      </c>
      <c r="H59" s="2" t="s">
        <v>78</v>
      </c>
      <c r="I59" s="3">
        <v>46289.41666666667</v>
      </c>
      <c r="J59" s="2" t="s">
        <v>42</v>
      </c>
      <c r="K59" s="2" t="s">
        <v>49</v>
      </c>
      <c r="L59" s="4">
        <v>177.42</v>
      </c>
      <c r="M59" s="5">
        <f>IF(AND(ISNUMBER(N59),ISNUMBER(L59),L59&gt;0),ROUND(N59/L59,2),"")</f>
        <v>7840.04</v>
      </c>
      <c r="N59" s="6">
        <v>1390980</v>
      </c>
      <c r="O59" s="7">
        <v>2483880</v>
      </c>
      <c r="P59" s="8">
        <f>IF(AND(ISNUMBER(N59),ISNUMBER(O59),O59&gt;0),N59/O59,"")</f>
        <v>0.560002898690758</v>
      </c>
      <c r="Q59" s="9" t="s">
        <v>7</v>
      </c>
      <c r="R59" s="9" t="s">
        <v>225</v>
      </c>
    </row>
    <row r="60" spans="1:18" x14ac:dyDescent="0.25">
      <c r="A60" s="2" t="s">
        <v>34</v>
      </c>
      <c r="B60" s="2" t="s">
        <v>35</v>
      </c>
      <c r="C60" s="2" t="s">
        <v>75</v>
      </c>
      <c r="D60" s="2" t="s">
        <v>226</v>
      </c>
      <c r="E60" s="2" t="s">
        <v>227</v>
      </c>
      <c r="F60" s="2" t="s">
        <v>39</v>
      </c>
      <c r="G60" s="2" t="s">
        <v>119</v>
      </c>
      <c r="H60" s="2" t="s">
        <v>48</v>
      </c>
      <c r="I60" s="3">
        <v>46299.41666666667</v>
      </c>
      <c r="J60" s="2" t="s">
        <v>42</v>
      </c>
      <c r="K60" s="2" t="s">
        <v>79</v>
      </c>
      <c r="L60" s="4">
        <v>150.31</v>
      </c>
      <c r="M60" s="5">
        <f>IF(AND(ISNUMBER(N60),ISNUMBER(L60),L60&gt;0),ROUND(N60/L60,2),"")</f>
        <v>2692.96</v>
      </c>
      <c r="N60" s="6">
        <v>404779</v>
      </c>
      <c r="O60" s="7">
        <v>449755.37</v>
      </c>
      <c r="P60" s="8">
        <f>IF(AND(ISNUMBER(N60),ISNUMBER(O60),O60&gt;0),N60/O60,"")</f>
        <v>0.8999981478820365</v>
      </c>
      <c r="Q60" s="9" t="s">
        <v>7</v>
      </c>
      <c r="R60" s="9" t="s">
        <v>228</v>
      </c>
    </row>
    <row r="61" spans="1:18" x14ac:dyDescent="0.25">
      <c r="A61" s="2" t="s">
        <v>34</v>
      </c>
      <c r="B61" s="2" t="s">
        <v>35</v>
      </c>
      <c r="C61" s="2" t="s">
        <v>116</v>
      </c>
      <c r="D61" s="2" t="s">
        <v>229</v>
      </c>
      <c r="E61" s="2" t="s">
        <v>230</v>
      </c>
      <c r="F61" s="2" t="s">
        <v>39</v>
      </c>
      <c r="G61" s="2" t="s">
        <v>119</v>
      </c>
      <c r="H61" s="2" t="s">
        <v>48</v>
      </c>
      <c r="I61" s="3">
        <v>46304.41666666667</v>
      </c>
      <c r="J61" s="2" t="s">
        <v>42</v>
      </c>
      <c r="K61" s="2" t="s">
        <v>120</v>
      </c>
      <c r="L61" s="4">
        <v>536.78</v>
      </c>
      <c r="M61" s="5">
        <f>IF(AND(ISNUMBER(N61),ISNUMBER(L61),L61&gt;0),ROUND(N61/L61,2),"")</f>
        <v>8659.04</v>
      </c>
      <c r="N61" s="6">
        <v>4648000</v>
      </c>
      <c r="O61" s="7">
        <v>6640000</v>
      </c>
      <c r="P61" s="8">
        <f>IF(AND(ISNUMBER(N61),ISNUMBER(O61),O61&gt;0),N61/O61,"")</f>
        <v>0.7</v>
      </c>
      <c r="Q61" s="9" t="s">
        <v>7</v>
      </c>
      <c r="R61" s="9" t="s">
        <v>231</v>
      </c>
    </row>
    <row r="62" spans="1:18" x14ac:dyDescent="0.25">
      <c r="A62" s="2" t="s">
        <v>34</v>
      </c>
      <c r="B62" s="2" t="s">
        <v>35</v>
      </c>
      <c r="C62" s="2" t="s">
        <v>116</v>
      </c>
      <c r="D62" s="2" t="s">
        <v>232</v>
      </c>
      <c r="E62" s="2" t="s">
        <v>233</v>
      </c>
      <c r="F62" s="2" t="s">
        <v>39</v>
      </c>
      <c r="G62" s="2" t="s">
        <v>119</v>
      </c>
      <c r="H62" s="2" t="s">
        <v>48</v>
      </c>
      <c r="I62" s="3">
        <v>46303.41666666667</v>
      </c>
      <c r="J62" s="2" t="s">
        <v>42</v>
      </c>
      <c r="K62" s="2" t="s">
        <v>120</v>
      </c>
      <c r="L62" s="4">
        <v>109.96</v>
      </c>
      <c r="M62" s="5">
        <f>IF(AND(ISNUMBER(N62),ISNUMBER(L62),L62&gt;0),ROUND(N62/L62,2),"")</f>
        <v>4983.63</v>
      </c>
      <c r="N62" s="6">
        <v>548000</v>
      </c>
      <c r="O62" s="7">
        <v>782600</v>
      </c>
      <c r="P62" s="8">
        <f>IF(AND(ISNUMBER(N62),ISNUMBER(O62),O62&gt;0),N62/O62,"")</f>
        <v>0.700230002555584</v>
      </c>
      <c r="Q62" s="2" t="s">
        <v>162</v>
      </c>
      <c r="R62" s="9" t="s">
        <v>234</v>
      </c>
    </row>
    <row r="63" spans="1:18" x14ac:dyDescent="0.25">
      <c r="A63" s="2" t="s">
        <v>34</v>
      </c>
      <c r="B63" s="2" t="s">
        <v>35</v>
      </c>
      <c r="C63" s="2" t="s">
        <v>75</v>
      </c>
      <c r="D63" s="2" t="s">
        <v>235</v>
      </c>
      <c r="E63" s="2" t="s">
        <v>236</v>
      </c>
      <c r="F63" s="2" t="s">
        <v>39</v>
      </c>
      <c r="G63" s="2" t="s">
        <v>119</v>
      </c>
      <c r="H63" s="2" t="s">
        <v>48</v>
      </c>
      <c r="I63" s="3">
        <v>46299.41666666667</v>
      </c>
      <c r="J63" s="2" t="s">
        <v>42</v>
      </c>
      <c r="K63" s="2" t="s">
        <v>79</v>
      </c>
      <c r="L63" s="4">
        <v>288.78</v>
      </c>
      <c r="M63" s="5">
        <f>IF(AND(ISNUMBER(N63),ISNUMBER(L63),L63&gt;0),ROUND(N63/L63,2),"")</f>
        <v>7903.46</v>
      </c>
      <c r="N63" s="6">
        <v>2282362</v>
      </c>
      <c r="O63" s="7">
        <v>2535957.85</v>
      </c>
      <c r="P63" s="8">
        <f>IF(AND(ISNUMBER(N63),ISNUMBER(O63),O63&gt;0),N63/O63,"")</f>
        <v>0.8999999743686591</v>
      </c>
      <c r="Q63" s="9" t="s">
        <v>7</v>
      </c>
      <c r="R63" s="9" t="s">
        <v>237</v>
      </c>
    </row>
    <row r="64" spans="1:18" x14ac:dyDescent="0.25">
      <c r="A64" s="2" t="s">
        <v>34</v>
      </c>
      <c r="B64" s="2" t="s">
        <v>35</v>
      </c>
      <c r="C64" s="2" t="s">
        <v>75</v>
      </c>
      <c r="D64" s="2" t="s">
        <v>238</v>
      </c>
      <c r="E64" s="2" t="s">
        <v>236</v>
      </c>
      <c r="F64" s="2" t="s">
        <v>39</v>
      </c>
      <c r="G64" s="2" t="s">
        <v>119</v>
      </c>
      <c r="H64" s="2" t="s">
        <v>48</v>
      </c>
      <c r="I64" s="3">
        <v>46299.41666666667</v>
      </c>
      <c r="J64" s="2" t="s">
        <v>42</v>
      </c>
      <c r="K64" s="2" t="s">
        <v>79</v>
      </c>
      <c r="L64" s="4">
        <v>315.07</v>
      </c>
      <c r="M64" s="5">
        <f>IF(AND(ISNUMBER(N64),ISNUMBER(L64),L64&gt;0),ROUND(N64/L64,2),"")</f>
        <v>7657.43</v>
      </c>
      <c r="N64" s="6">
        <v>2412628</v>
      </c>
      <c r="O64" s="7">
        <v>2680698.32</v>
      </c>
      <c r="P64" s="8">
        <f>IF(AND(ISNUMBER(N64),ISNUMBER(O64),O64&gt;0),N64/O64,"")</f>
        <v>0.899999817957882</v>
      </c>
      <c r="Q64" s="9" t="s">
        <v>7</v>
      </c>
      <c r="R64" s="9" t="s">
        <v>239</v>
      </c>
    </row>
    <row r="65" spans="1:18" x14ac:dyDescent="0.25">
      <c r="A65" s="2" t="s">
        <v>34</v>
      </c>
      <c r="B65" s="2" t="s">
        <v>35</v>
      </c>
      <c r="C65" s="2" t="s">
        <v>116</v>
      </c>
      <c r="D65" s="2" t="s">
        <v>240</v>
      </c>
      <c r="E65" s="2" t="s">
        <v>241</v>
      </c>
      <c r="F65" s="2" t="s">
        <v>39</v>
      </c>
      <c r="G65" s="2" t="s">
        <v>119</v>
      </c>
      <c r="H65" s="2" t="s">
        <v>48</v>
      </c>
      <c r="I65" s="3">
        <v>46303.41666666667</v>
      </c>
      <c r="J65" s="2" t="s">
        <v>42</v>
      </c>
      <c r="K65" s="2" t="s">
        <v>120</v>
      </c>
      <c r="L65" s="4">
        <v>125.44</v>
      </c>
      <c r="M65" s="5">
        <f>IF(AND(ISNUMBER(N65),ISNUMBER(L65),L65&gt;0),ROUND(N65/L65,2),"")</f>
        <v>5982.18</v>
      </c>
      <c r="N65" s="6">
        <v>750405</v>
      </c>
      <c r="O65" s="7">
        <v>1072007</v>
      </c>
      <c r="P65" s="8">
        <f>IF(AND(ISNUMBER(N65),ISNUMBER(O65),O65&gt;0),N65/O65,"")</f>
        <v>0.700000093282973</v>
      </c>
      <c r="Q65" s="2" t="s">
        <v>162</v>
      </c>
      <c r="R65" s="9" t="s">
        <v>242</v>
      </c>
    </row>
    <row r="66" spans="1:18" x14ac:dyDescent="0.25">
      <c r="A66" s="2" t="s">
        <v>34</v>
      </c>
      <c r="B66" s="2" t="s">
        <v>35</v>
      </c>
      <c r="C66" s="2" t="s">
        <v>116</v>
      </c>
      <c r="D66" s="2" t="s">
        <v>243</v>
      </c>
      <c r="E66" s="2" t="s">
        <v>244</v>
      </c>
      <c r="F66" s="2" t="s">
        <v>39</v>
      </c>
      <c r="G66" s="2" t="s">
        <v>119</v>
      </c>
      <c r="H66" s="2" t="s">
        <v>48</v>
      </c>
      <c r="I66" s="3">
        <v>46304.41666666667</v>
      </c>
      <c r="J66" s="2" t="s">
        <v>42</v>
      </c>
      <c r="K66" s="2" t="s">
        <v>120</v>
      </c>
      <c r="L66" s="4">
        <v>132.11</v>
      </c>
      <c r="M66" s="5">
        <f>IF(AND(ISNUMBER(N66),ISNUMBER(L66),L66&gt;0),ROUND(N66/L66,2),"")</f>
        <v>8891.08</v>
      </c>
      <c r="N66" s="6">
        <v>1174600</v>
      </c>
      <c r="O66" s="7">
        <v>1678000</v>
      </c>
      <c r="P66" s="8">
        <f>IF(AND(ISNUMBER(N66),ISNUMBER(O66),O66&gt;0),N66/O66,"")</f>
        <v>0.7</v>
      </c>
      <c r="Q66" s="2" t="s">
        <v>162</v>
      </c>
      <c r="R66" s="9" t="s">
        <v>245</v>
      </c>
    </row>
    <row r="67" spans="1:18" x14ac:dyDescent="0.25">
      <c r="A67" s="2" t="s">
        <v>34</v>
      </c>
      <c r="B67" s="2" t="s">
        <v>35</v>
      </c>
      <c r="C67" s="2" t="s">
        <v>75</v>
      </c>
      <c r="D67" s="2" t="s">
        <v>246</v>
      </c>
      <c r="E67" s="2" t="s">
        <v>236</v>
      </c>
      <c r="F67" s="2" t="s">
        <v>39</v>
      </c>
      <c r="G67" s="2" t="s">
        <v>119</v>
      </c>
      <c r="H67" s="2" t="s">
        <v>48</v>
      </c>
      <c r="I67" s="3">
        <v>46299.41666666667</v>
      </c>
      <c r="J67" s="2" t="s">
        <v>42</v>
      </c>
      <c r="K67" s="2" t="s">
        <v>79</v>
      </c>
      <c r="L67" s="4">
        <v>271.36</v>
      </c>
      <c r="M67" s="5">
        <f>IF(AND(ISNUMBER(N67),ISNUMBER(L67),L67&gt;0),ROUND(N67/L67,2),"")</f>
        <v>7903.46</v>
      </c>
      <c r="N67" s="6">
        <v>2144683</v>
      </c>
      <c r="O67" s="7">
        <v>2382982.04</v>
      </c>
      <c r="P67" s="8">
        <f>IF(AND(ISNUMBER(N67),ISNUMBER(O67),O67&gt;0),N67/O67,"")</f>
        <v>0.8999996491790597</v>
      </c>
      <c r="Q67" s="9" t="s">
        <v>7</v>
      </c>
      <c r="R67" s="9" t="s">
        <v>247</v>
      </c>
    </row>
    <row r="68" spans="1:18" x14ac:dyDescent="0.25">
      <c r="A68" s="2" t="s">
        <v>34</v>
      </c>
      <c r="B68" s="2" t="s">
        <v>35</v>
      </c>
      <c r="C68" s="2" t="s">
        <v>59</v>
      </c>
      <c r="D68" s="2" t="s">
        <v>248</v>
      </c>
      <c r="E68" s="2" t="s">
        <v>249</v>
      </c>
      <c r="F68" s="2" t="s">
        <v>39</v>
      </c>
      <c r="G68" s="2" t="s">
        <v>119</v>
      </c>
      <c r="H68" s="2" t="s">
        <v>48</v>
      </c>
      <c r="I68" s="3">
        <v>46310.41666666667</v>
      </c>
      <c r="J68" s="2" t="s">
        <v>42</v>
      </c>
      <c r="K68" s="2" t="s">
        <v>94</v>
      </c>
      <c r="L68" s="4">
        <v>83.93</v>
      </c>
      <c r="M68" s="5">
        <f>IF(AND(ISNUMBER(N68),ISNUMBER(L68),L68&gt;0),ROUND(N68/L68,2),"")</f>
        <v>15170.4</v>
      </c>
      <c r="N68" s="6">
        <v>1273252</v>
      </c>
      <c r="O68" s="7">
        <v>1818930.96</v>
      </c>
      <c r="P68" s="8">
        <f>IF(AND(ISNUMBER(N68),ISNUMBER(O68),O68&gt;0),N68/O68,"")</f>
        <v>0.7000001803257008</v>
      </c>
      <c r="Q68" s="9" t="s">
        <v>7</v>
      </c>
      <c r="R68" s="9" t="s">
        <v>250</v>
      </c>
    </row>
    <row r="69" spans="1:18" x14ac:dyDescent="0.25">
      <c r="A69" s="2" t="s">
        <v>34</v>
      </c>
      <c r="B69" s="2" t="s">
        <v>35</v>
      </c>
      <c r="C69" s="2" t="s">
        <v>59</v>
      </c>
      <c r="D69" s="2" t="s">
        <v>251</v>
      </c>
      <c r="E69" s="2" t="s">
        <v>252</v>
      </c>
      <c r="F69" s="2" t="s">
        <v>39</v>
      </c>
      <c r="G69" s="2" t="s">
        <v>119</v>
      </c>
      <c r="H69" s="2" t="s">
        <v>48</v>
      </c>
      <c r="I69" s="3">
        <v>46310.41666666667</v>
      </c>
      <c r="J69" s="2" t="s">
        <v>42</v>
      </c>
      <c r="K69" s="2" t="s">
        <v>94</v>
      </c>
      <c r="L69" s="4">
        <v>134.94</v>
      </c>
      <c r="M69" s="5">
        <f>IF(AND(ISNUMBER(N69),ISNUMBER(L69),L69&gt;0),ROUND(N69/L69,2),"")</f>
        <v>10224.56</v>
      </c>
      <c r="N69" s="6">
        <v>1379702</v>
      </c>
      <c r="O69" s="7">
        <v>1971001.77</v>
      </c>
      <c r="P69" s="8">
        <f>IF(AND(ISNUMBER(N69),ISNUMBER(O69),O69&gt;0),N69/O69,"")</f>
        <v>0.7000003860980805</v>
      </c>
      <c r="Q69" s="2" t="s">
        <v>253</v>
      </c>
      <c r="R69" s="9" t="s">
        <v>254</v>
      </c>
    </row>
    <row r="70" spans="1:18" x14ac:dyDescent="0.25">
      <c r="A70" s="2" t="s">
        <v>34</v>
      </c>
      <c r="B70" s="2" t="s">
        <v>35</v>
      </c>
      <c r="C70" s="2" t="s">
        <v>63</v>
      </c>
      <c r="D70" s="2" t="s">
        <v>255</v>
      </c>
      <c r="E70" s="2" t="s">
        <v>256</v>
      </c>
      <c r="F70" s="2" t="s">
        <v>39</v>
      </c>
      <c r="G70" s="2" t="s">
        <v>119</v>
      </c>
      <c r="H70" s="2" t="s">
        <v>48</v>
      </c>
      <c r="I70" s="3">
        <v>46309.41666666667</v>
      </c>
      <c r="J70" s="2" t="s">
        <v>42</v>
      </c>
      <c r="K70" s="2" t="s">
        <v>94</v>
      </c>
      <c r="L70" s="4">
        <v>87.47</v>
      </c>
      <c r="M70" s="5">
        <f>IF(AND(ISNUMBER(N70),ISNUMBER(L70),L70&gt;0),ROUND(N70/L70,2),"")</f>
        <v>7350.01</v>
      </c>
      <c r="N70" s="6">
        <v>642905</v>
      </c>
      <c r="O70" s="7">
        <v>918435</v>
      </c>
      <c r="P70" s="8">
        <f>IF(AND(ISNUMBER(N70),ISNUMBER(O70),O70&gt;0),N70/O70,"")</f>
        <v>0.70000054440434</v>
      </c>
      <c r="Q70" s="9" t="s">
        <v>7</v>
      </c>
      <c r="R70" s="9" t="s">
        <v>257</v>
      </c>
    </row>
    <row r="71" spans="1:18" x14ac:dyDescent="0.25">
      <c r="A71" s="2" t="s">
        <v>34</v>
      </c>
      <c r="B71" s="2" t="s">
        <v>35</v>
      </c>
      <c r="C71" s="2" t="s">
        <v>191</v>
      </c>
      <c r="D71" s="2" t="s">
        <v>258</v>
      </c>
      <c r="E71" s="2" t="s">
        <v>259</v>
      </c>
      <c r="F71" s="2" t="s">
        <v>39</v>
      </c>
      <c r="G71" s="2" t="s">
        <v>119</v>
      </c>
      <c r="H71" s="2" t="s">
        <v>78</v>
      </c>
      <c r="I71" s="3">
        <v>46283.41666666667</v>
      </c>
      <c r="J71" s="2" t="s">
        <v>42</v>
      </c>
      <c r="K71" s="2" t="s">
        <v>79</v>
      </c>
      <c r="L71" s="4">
        <v>162.05</v>
      </c>
      <c r="M71" s="5">
        <f>IF(AND(ISNUMBER(N71),ISNUMBER(L71),L71&gt;0),ROUND(N71/L71,2),"")</f>
        <v>14861.6</v>
      </c>
      <c r="N71" s="6">
        <v>2408322</v>
      </c>
      <c r="O71" s="7">
        <v>3010402.85</v>
      </c>
      <c r="P71" s="8">
        <f>IF(AND(ISNUMBER(N71),ISNUMBER(O71),O71&gt;0),N71/O71,"")</f>
        <v>0.7999999069891924</v>
      </c>
      <c r="Q71" s="9" t="s">
        <v>7</v>
      </c>
      <c r="R71" s="9" t="s">
        <v>260</v>
      </c>
    </row>
    <row r="72" spans="1:18" x14ac:dyDescent="0.25">
      <c r="A72" s="2" t="s">
        <v>34</v>
      </c>
      <c r="B72" s="2" t="s">
        <v>35</v>
      </c>
      <c r="C72" s="2" t="s">
        <v>191</v>
      </c>
      <c r="D72" s="2" t="s">
        <v>261</v>
      </c>
      <c r="E72" s="2" t="s">
        <v>262</v>
      </c>
      <c r="F72" s="2" t="s">
        <v>73</v>
      </c>
      <c r="G72" s="2" t="s">
        <v>119</v>
      </c>
      <c r="H72" s="2" t="s">
        <v>48</v>
      </c>
      <c r="I72" s="3">
        <v>46304.41666666667</v>
      </c>
      <c r="J72" s="2" t="s">
        <v>42</v>
      </c>
      <c r="K72" s="2" t="s">
        <v>120</v>
      </c>
      <c r="L72" s="4">
        <v>161.12</v>
      </c>
      <c r="M72" s="5">
        <f>IF(AND(ISNUMBER(N72),ISNUMBER(L72),L72&gt;0),ROUND(N72/L72,2),"")</f>
        <v>18855.51</v>
      </c>
      <c r="N72" s="6">
        <v>3038000</v>
      </c>
      <c r="O72" s="7">
        <v>4340000</v>
      </c>
      <c r="P72" s="8">
        <f>IF(AND(ISNUMBER(N72),ISNUMBER(O72),O72&gt;0),N72/O72,"")</f>
        <v>0.7</v>
      </c>
      <c r="Q72" s="2" t="s">
        <v>263</v>
      </c>
      <c r="R72" s="9" t="s">
        <v>264</v>
      </c>
    </row>
    <row r="73" spans="1:18" x14ac:dyDescent="0.25">
      <c r="A73" s="2" t="s">
        <v>34</v>
      </c>
      <c r="B73" s="2" t="s">
        <v>35</v>
      </c>
      <c r="C73" s="2" t="s">
        <v>67</v>
      </c>
      <c r="D73" s="2" t="s">
        <v>265</v>
      </c>
      <c r="E73" s="2" t="s">
        <v>266</v>
      </c>
      <c r="F73" s="2" t="s">
        <v>39</v>
      </c>
      <c r="G73" s="2" t="s">
        <v>119</v>
      </c>
      <c r="H73" s="2" t="s">
        <v>48</v>
      </c>
      <c r="I73" s="3">
        <v>46299.41666666667</v>
      </c>
      <c r="J73" s="2" t="s">
        <v>42</v>
      </c>
      <c r="K73" s="2" t="s">
        <v>200</v>
      </c>
      <c r="L73" s="4">
        <v>98.25</v>
      </c>
      <c r="M73" s="5">
        <f>IF(AND(ISNUMBER(N73),ISNUMBER(L73),L73&gt;0),ROUND(N73/L73,2),"")</f>
        <v>6005.09</v>
      </c>
      <c r="N73" s="6">
        <v>590000</v>
      </c>
      <c r="O73" s="7">
        <v>842000</v>
      </c>
      <c r="P73" s="8">
        <f>IF(AND(ISNUMBER(N73),ISNUMBER(O73),O73&gt;0),N73/O73,"")</f>
        <v>0.7007125890736342</v>
      </c>
      <c r="Q73" s="2" t="s">
        <v>162</v>
      </c>
      <c r="R73" s="9" t="s">
        <v>267</v>
      </c>
    </row>
    <row r="74" spans="1:18" x14ac:dyDescent="0.25">
      <c r="A74" s="2" t="s">
        <v>34</v>
      </c>
      <c r="B74" s="2" t="s">
        <v>35</v>
      </c>
      <c r="C74" s="2" t="s">
        <v>67</v>
      </c>
      <c r="D74" s="2" t="s">
        <v>268</v>
      </c>
      <c r="E74" s="2" t="s">
        <v>269</v>
      </c>
      <c r="F74" s="2" t="s">
        <v>39</v>
      </c>
      <c r="G74" s="2" t="s">
        <v>119</v>
      </c>
      <c r="H74" s="2" t="s">
        <v>48</v>
      </c>
      <c r="I74" s="3">
        <v>46303.41666666667</v>
      </c>
      <c r="J74" s="2" t="s">
        <v>42</v>
      </c>
      <c r="K74" s="2" t="s">
        <v>270</v>
      </c>
      <c r="L74" s="4">
        <v>129.87</v>
      </c>
      <c r="M74" s="5">
        <f>IF(AND(ISNUMBER(N74),ISNUMBER(L74),L74&gt;0),ROUND(N74/L74,2),"")</f>
        <v>3582.61</v>
      </c>
      <c r="N74" s="6">
        <v>465274</v>
      </c>
      <c r="O74" s="7">
        <v>664676</v>
      </c>
      <c r="P74" s="8">
        <f>IF(AND(ISNUMBER(N74),ISNUMBER(O74),O74&gt;0),N74/O74,"")</f>
        <v>0.7000012035939315</v>
      </c>
      <c r="Q74" s="2" t="s">
        <v>271</v>
      </c>
      <c r="R74" s="9" t="s">
        <v>272</v>
      </c>
    </row>
    <row r="75" spans="1:18" x14ac:dyDescent="0.25">
      <c r="A75" s="2" t="s">
        <v>34</v>
      </c>
      <c r="B75" s="2" t="s">
        <v>35</v>
      </c>
      <c r="C75" s="2" t="s">
        <v>89</v>
      </c>
      <c r="D75" s="2" t="s">
        <v>273</v>
      </c>
      <c r="E75" s="2" t="s">
        <v>274</v>
      </c>
      <c r="F75" s="2" t="s">
        <v>39</v>
      </c>
      <c r="G75" s="2" t="s">
        <v>119</v>
      </c>
      <c r="H75" s="2" t="s">
        <v>41</v>
      </c>
      <c r="I75" s="3">
        <v>46284.41666666667</v>
      </c>
      <c r="J75" s="2" t="s">
        <v>42</v>
      </c>
      <c r="K75" s="2" t="s">
        <v>275</v>
      </c>
      <c r="L75" s="4">
        <v>134.91</v>
      </c>
      <c r="M75" s="5">
        <f>IF(AND(ISNUMBER(N75),ISNUMBER(L75),L75&gt;0),ROUND(N75/L75,2),"")</f>
        <v>3154.06</v>
      </c>
      <c r="N75" s="6">
        <v>425514</v>
      </c>
      <c r="O75" s="7">
        <v>531892.13</v>
      </c>
      <c r="P75" s="8">
        <f>IF(AND(ISNUMBER(N75),ISNUMBER(O75),O75&gt;0),N75/O75,"")</f>
        <v>0.800000556503816</v>
      </c>
      <c r="Q75" s="9" t="s">
        <v>7</v>
      </c>
      <c r="R75" s="9" t="s">
        <v>276</v>
      </c>
    </row>
    <row r="76" spans="1:18" x14ac:dyDescent="0.25">
      <c r="A76" s="2" t="s">
        <v>34</v>
      </c>
      <c r="B76" s="2" t="s">
        <v>35</v>
      </c>
      <c r="C76" s="2" t="s">
        <v>116</v>
      </c>
      <c r="D76" s="2" t="s">
        <v>277</v>
      </c>
      <c r="E76" s="2" t="s">
        <v>118</v>
      </c>
      <c r="F76" s="2" t="s">
        <v>73</v>
      </c>
      <c r="G76" s="2" t="s">
        <v>119</v>
      </c>
      <c r="H76" s="2" t="s">
        <v>48</v>
      </c>
      <c r="I76" s="3">
        <v>46300.41666666667</v>
      </c>
      <c r="J76" s="2" t="s">
        <v>42</v>
      </c>
      <c r="K76" s="2" t="s">
        <v>120</v>
      </c>
      <c r="L76" s="4">
        <v>27.16</v>
      </c>
      <c r="M76" s="5">
        <f>IF(AND(ISNUMBER(N76),ISNUMBER(L76),L76&gt;0),ROUND(N76/L76,2),"")</f>
        <v>902.06</v>
      </c>
      <c r="N76" s="6">
        <v>24500</v>
      </c>
      <c r="O76" s="7">
        <v>35000</v>
      </c>
      <c r="P76" s="8">
        <f>IF(AND(ISNUMBER(N76),ISNUMBER(O76),O76&gt;0),N76/O76,"")</f>
        <v>0.7</v>
      </c>
      <c r="Q76" s="9" t="s">
        <v>7</v>
      </c>
      <c r="R76" s="9" t="s">
        <v>278</v>
      </c>
    </row>
    <row r="77" spans="1:18" x14ac:dyDescent="0.25">
      <c r="A77" s="2" t="s">
        <v>34</v>
      </c>
      <c r="B77" s="2" t="s">
        <v>35</v>
      </c>
      <c r="C77" s="2" t="s">
        <v>116</v>
      </c>
      <c r="D77" s="2" t="s">
        <v>279</v>
      </c>
      <c r="E77" s="2" t="s">
        <v>118</v>
      </c>
      <c r="F77" s="2" t="s">
        <v>73</v>
      </c>
      <c r="G77" s="2" t="s">
        <v>119</v>
      </c>
      <c r="H77" s="2" t="s">
        <v>48</v>
      </c>
      <c r="I77" s="3">
        <v>46300.41666666667</v>
      </c>
      <c r="J77" s="2" t="s">
        <v>42</v>
      </c>
      <c r="K77" s="2" t="s">
        <v>120</v>
      </c>
      <c r="L77" s="4">
        <v>27.16</v>
      </c>
      <c r="M77" s="5">
        <f>IF(AND(ISNUMBER(N77),ISNUMBER(L77),L77&gt;0),ROUND(N77/L77,2),"")</f>
        <v>902.06</v>
      </c>
      <c r="N77" s="6">
        <v>24500</v>
      </c>
      <c r="O77" s="7">
        <v>35000</v>
      </c>
      <c r="P77" s="8">
        <f>IF(AND(ISNUMBER(N77),ISNUMBER(O77),O77&gt;0),N77/O77,"")</f>
        <v>0.7</v>
      </c>
      <c r="Q77" s="9" t="s">
        <v>7</v>
      </c>
      <c r="R77" s="9" t="s">
        <v>280</v>
      </c>
    </row>
    <row r="78" spans="1:18" x14ac:dyDescent="0.25">
      <c r="A78" s="2" t="s">
        <v>34</v>
      </c>
      <c r="B78" s="2" t="s">
        <v>35</v>
      </c>
      <c r="C78" s="2" t="s">
        <v>116</v>
      </c>
      <c r="D78" s="2" t="s">
        <v>281</v>
      </c>
      <c r="E78" s="2" t="s">
        <v>118</v>
      </c>
      <c r="F78" s="2" t="s">
        <v>73</v>
      </c>
      <c r="G78" s="2" t="s">
        <v>119</v>
      </c>
      <c r="H78" s="2" t="s">
        <v>48</v>
      </c>
      <c r="I78" s="3">
        <v>46300.41666666667</v>
      </c>
      <c r="J78" s="2" t="s">
        <v>42</v>
      </c>
      <c r="K78" s="2" t="s">
        <v>120</v>
      </c>
      <c r="L78" s="4">
        <v>27.16</v>
      </c>
      <c r="M78" s="5">
        <f>IF(AND(ISNUMBER(N78),ISNUMBER(L78),L78&gt;0),ROUND(N78/L78,2),"")</f>
        <v>902.06</v>
      </c>
      <c r="N78" s="6">
        <v>24500</v>
      </c>
      <c r="O78" s="7">
        <v>35000</v>
      </c>
      <c r="P78" s="8">
        <f>IF(AND(ISNUMBER(N78),ISNUMBER(O78),O78&gt;0),N78/O78,"")</f>
        <v>0.7</v>
      </c>
      <c r="Q78" s="9" t="s">
        <v>7</v>
      </c>
      <c r="R78" s="9" t="s">
        <v>282</v>
      </c>
    </row>
    <row r="79" spans="1:18" x14ac:dyDescent="0.25">
      <c r="A79" s="2" t="s">
        <v>34</v>
      </c>
      <c r="B79" s="2" t="s">
        <v>35</v>
      </c>
      <c r="C79" s="2" t="s">
        <v>116</v>
      </c>
      <c r="D79" s="2" t="s">
        <v>283</v>
      </c>
      <c r="E79" s="2" t="s">
        <v>118</v>
      </c>
      <c r="F79" s="2" t="s">
        <v>73</v>
      </c>
      <c r="G79" s="2" t="s">
        <v>119</v>
      </c>
      <c r="H79" s="2" t="s">
        <v>48</v>
      </c>
      <c r="I79" s="3">
        <v>46300.41666666667</v>
      </c>
      <c r="J79" s="2" t="s">
        <v>42</v>
      </c>
      <c r="K79" s="2" t="s">
        <v>120</v>
      </c>
      <c r="L79" s="4">
        <v>27.16</v>
      </c>
      <c r="M79" s="5">
        <f>IF(AND(ISNUMBER(N79),ISNUMBER(L79),L79&gt;0),ROUND(N79/L79,2),"")</f>
        <v>902.06</v>
      </c>
      <c r="N79" s="6">
        <v>24500</v>
      </c>
      <c r="O79" s="7">
        <v>35000</v>
      </c>
      <c r="P79" s="8">
        <f>IF(AND(ISNUMBER(N79),ISNUMBER(O79),O79&gt;0),N79/O79,"")</f>
        <v>0.7</v>
      </c>
      <c r="Q79" s="9" t="s">
        <v>7</v>
      </c>
      <c r="R79" s="9" t="s">
        <v>284</v>
      </c>
    </row>
    <row r="80" spans="1:18" x14ac:dyDescent="0.25">
      <c r="A80" s="2" t="s">
        <v>34</v>
      </c>
      <c r="B80" s="2" t="s">
        <v>35</v>
      </c>
      <c r="C80" s="2" t="s">
        <v>116</v>
      </c>
      <c r="D80" s="2" t="s">
        <v>285</v>
      </c>
      <c r="E80" s="2" t="s">
        <v>118</v>
      </c>
      <c r="F80" s="2" t="s">
        <v>73</v>
      </c>
      <c r="G80" s="2" t="s">
        <v>119</v>
      </c>
      <c r="H80" s="2" t="s">
        <v>48</v>
      </c>
      <c r="I80" s="3">
        <v>46300.41666666667</v>
      </c>
      <c r="J80" s="2" t="s">
        <v>42</v>
      </c>
      <c r="K80" s="2" t="s">
        <v>120</v>
      </c>
      <c r="L80" s="4">
        <v>27.16</v>
      </c>
      <c r="M80" s="5">
        <f>IF(AND(ISNUMBER(N80),ISNUMBER(L80),L80&gt;0),ROUND(N80/L80,2),"")</f>
        <v>902.06</v>
      </c>
      <c r="N80" s="6">
        <v>24500</v>
      </c>
      <c r="O80" s="7">
        <v>35000</v>
      </c>
      <c r="P80" s="8">
        <f>IF(AND(ISNUMBER(N80),ISNUMBER(O80),O80&gt;0),N80/O80,"")</f>
        <v>0.7</v>
      </c>
      <c r="Q80" s="9" t="s">
        <v>7</v>
      </c>
      <c r="R80" s="9" t="s">
        <v>286</v>
      </c>
    </row>
    <row r="81" spans="1:18" x14ac:dyDescent="0.25">
      <c r="A81" s="2" t="s">
        <v>34</v>
      </c>
      <c r="B81" s="2" t="s">
        <v>35</v>
      </c>
      <c r="C81" s="2" t="s">
        <v>116</v>
      </c>
      <c r="D81" s="2" t="s">
        <v>287</v>
      </c>
      <c r="E81" s="2" t="s">
        <v>118</v>
      </c>
      <c r="F81" s="2" t="s">
        <v>73</v>
      </c>
      <c r="G81" s="2" t="s">
        <v>119</v>
      </c>
      <c r="H81" s="2" t="s">
        <v>48</v>
      </c>
      <c r="I81" s="3">
        <v>46300.41666666667</v>
      </c>
      <c r="J81" s="2" t="s">
        <v>42</v>
      </c>
      <c r="K81" s="2" t="s">
        <v>120</v>
      </c>
      <c r="L81" s="4">
        <v>27.16</v>
      </c>
      <c r="M81" s="5">
        <f>IF(AND(ISNUMBER(N81),ISNUMBER(L81),L81&gt;0),ROUND(N81/L81,2),"")</f>
        <v>902.06</v>
      </c>
      <c r="N81" s="6">
        <v>24500</v>
      </c>
      <c r="O81" s="7">
        <v>35000</v>
      </c>
      <c r="P81" s="8">
        <f>IF(AND(ISNUMBER(N81),ISNUMBER(O81),O81&gt;0),N81/O81,"")</f>
        <v>0.7</v>
      </c>
      <c r="Q81" s="9" t="s">
        <v>7</v>
      </c>
      <c r="R81" s="9" t="s">
        <v>288</v>
      </c>
    </row>
    <row r="82" spans="1:18" x14ac:dyDescent="0.25">
      <c r="A82" s="2" t="s">
        <v>34</v>
      </c>
      <c r="B82" s="2" t="s">
        <v>35</v>
      </c>
      <c r="C82" s="2" t="s">
        <v>116</v>
      </c>
      <c r="D82" s="2" t="s">
        <v>289</v>
      </c>
      <c r="E82" s="2" t="s">
        <v>118</v>
      </c>
      <c r="F82" s="2" t="s">
        <v>73</v>
      </c>
      <c r="G82" s="2" t="s">
        <v>119</v>
      </c>
      <c r="H82" s="2" t="s">
        <v>48</v>
      </c>
      <c r="I82" s="3">
        <v>46300.41666666667</v>
      </c>
      <c r="J82" s="2" t="s">
        <v>42</v>
      </c>
      <c r="K82" s="2" t="s">
        <v>120</v>
      </c>
      <c r="L82" s="4">
        <v>27.16</v>
      </c>
      <c r="M82" s="5">
        <f>IF(AND(ISNUMBER(N82),ISNUMBER(L82),L82&gt;0),ROUND(N82/L82,2),"")</f>
        <v>902.06</v>
      </c>
      <c r="N82" s="6">
        <v>24500</v>
      </c>
      <c r="O82" s="7">
        <v>35000</v>
      </c>
      <c r="P82" s="8">
        <f>IF(AND(ISNUMBER(N82),ISNUMBER(O82),O82&gt;0),N82/O82,"")</f>
        <v>0.7</v>
      </c>
      <c r="Q82" s="9" t="s">
        <v>7</v>
      </c>
      <c r="R82" s="9" t="s">
        <v>290</v>
      </c>
    </row>
    <row r="83" spans="1:18" x14ac:dyDescent="0.25">
      <c r="A83" s="2" t="s">
        <v>34</v>
      </c>
      <c r="B83" s="2" t="s">
        <v>35</v>
      </c>
      <c r="C83" s="2" t="s">
        <v>116</v>
      </c>
      <c r="D83" s="2" t="s">
        <v>291</v>
      </c>
      <c r="E83" s="2" t="s">
        <v>118</v>
      </c>
      <c r="F83" s="2" t="s">
        <v>73</v>
      </c>
      <c r="G83" s="2" t="s">
        <v>119</v>
      </c>
      <c r="H83" s="2" t="s">
        <v>48</v>
      </c>
      <c r="I83" s="3">
        <v>46300.41666666667</v>
      </c>
      <c r="J83" s="2" t="s">
        <v>42</v>
      </c>
      <c r="K83" s="2" t="s">
        <v>120</v>
      </c>
      <c r="L83" s="4">
        <v>27.16</v>
      </c>
      <c r="M83" s="5">
        <f>IF(AND(ISNUMBER(N83),ISNUMBER(L83),L83&gt;0),ROUND(N83/L83,2),"")</f>
        <v>902.06</v>
      </c>
      <c r="N83" s="6">
        <v>24500</v>
      </c>
      <c r="O83" s="7">
        <v>35000</v>
      </c>
      <c r="P83" s="8">
        <f>IF(AND(ISNUMBER(N83),ISNUMBER(O83),O83&gt;0),N83/O83,"")</f>
        <v>0.7</v>
      </c>
      <c r="Q83" s="9" t="s">
        <v>7</v>
      </c>
      <c r="R83" s="9" t="s">
        <v>292</v>
      </c>
    </row>
    <row r="84" spans="1:18" x14ac:dyDescent="0.25">
      <c r="A84" s="2" t="s">
        <v>34</v>
      </c>
      <c r="B84" s="2" t="s">
        <v>35</v>
      </c>
      <c r="C84" s="2" t="s">
        <v>116</v>
      </c>
      <c r="D84" s="2" t="s">
        <v>293</v>
      </c>
      <c r="E84" s="2" t="s">
        <v>118</v>
      </c>
      <c r="F84" s="2" t="s">
        <v>73</v>
      </c>
      <c r="G84" s="2" t="s">
        <v>119</v>
      </c>
      <c r="H84" s="2" t="s">
        <v>48</v>
      </c>
      <c r="I84" s="3">
        <v>46300.41666666667</v>
      </c>
      <c r="J84" s="2" t="s">
        <v>42</v>
      </c>
      <c r="K84" s="2" t="s">
        <v>120</v>
      </c>
      <c r="L84" s="4">
        <v>27.16</v>
      </c>
      <c r="M84" s="5">
        <f>IF(AND(ISNUMBER(N84),ISNUMBER(L84),L84&gt;0),ROUND(N84/L84,2),"")</f>
        <v>902.06</v>
      </c>
      <c r="N84" s="6">
        <v>24500</v>
      </c>
      <c r="O84" s="7">
        <v>35000</v>
      </c>
      <c r="P84" s="8">
        <f>IF(AND(ISNUMBER(N84),ISNUMBER(O84),O84&gt;0),N84/O84,"")</f>
        <v>0.7</v>
      </c>
      <c r="Q84" s="9" t="s">
        <v>7</v>
      </c>
      <c r="R84" s="9" t="s">
        <v>294</v>
      </c>
    </row>
    <row r="85" spans="1:18" x14ac:dyDescent="0.25">
      <c r="A85" s="2" t="s">
        <v>34</v>
      </c>
      <c r="B85" s="2" t="s">
        <v>35</v>
      </c>
      <c r="C85" s="2" t="s">
        <v>116</v>
      </c>
      <c r="D85" s="2" t="s">
        <v>295</v>
      </c>
      <c r="E85" s="2" t="s">
        <v>118</v>
      </c>
      <c r="F85" s="2" t="s">
        <v>73</v>
      </c>
      <c r="G85" s="2" t="s">
        <v>119</v>
      </c>
      <c r="H85" s="2" t="s">
        <v>48</v>
      </c>
      <c r="I85" s="3">
        <v>46300.41666666667</v>
      </c>
      <c r="J85" s="2" t="s">
        <v>42</v>
      </c>
      <c r="K85" s="2" t="s">
        <v>120</v>
      </c>
      <c r="L85" s="4">
        <v>27.16</v>
      </c>
      <c r="M85" s="5">
        <f>IF(AND(ISNUMBER(N85),ISNUMBER(L85),L85&gt;0),ROUND(N85/L85,2),"")</f>
        <v>902.06</v>
      </c>
      <c r="N85" s="6">
        <v>24500</v>
      </c>
      <c r="O85" s="7">
        <v>35000</v>
      </c>
      <c r="P85" s="8">
        <f>IF(AND(ISNUMBER(N85),ISNUMBER(O85),O85&gt;0),N85/O85,"")</f>
        <v>0.7</v>
      </c>
      <c r="Q85" s="9" t="s">
        <v>7</v>
      </c>
      <c r="R85" s="9" t="s">
        <v>296</v>
      </c>
    </row>
    <row r="86" spans="1:18" x14ac:dyDescent="0.25">
      <c r="A86" s="2" t="s">
        <v>34</v>
      </c>
      <c r="B86" s="2" t="s">
        <v>35</v>
      </c>
      <c r="C86" s="2" t="s">
        <v>116</v>
      </c>
      <c r="D86" s="2" t="s">
        <v>297</v>
      </c>
      <c r="E86" s="2" t="s">
        <v>118</v>
      </c>
      <c r="F86" s="2" t="s">
        <v>73</v>
      </c>
      <c r="G86" s="2" t="s">
        <v>119</v>
      </c>
      <c r="H86" s="2" t="s">
        <v>48</v>
      </c>
      <c r="I86" s="3">
        <v>46300.41666666667</v>
      </c>
      <c r="J86" s="2" t="s">
        <v>42</v>
      </c>
      <c r="K86" s="2" t="s">
        <v>120</v>
      </c>
      <c r="L86" s="4">
        <v>27.16</v>
      </c>
      <c r="M86" s="5">
        <f>IF(AND(ISNUMBER(N86),ISNUMBER(L86),L86&gt;0),ROUND(N86/L86,2),"")</f>
        <v>902.06</v>
      </c>
      <c r="N86" s="6">
        <v>24500</v>
      </c>
      <c r="O86" s="7">
        <v>35000</v>
      </c>
      <c r="P86" s="8">
        <f>IF(AND(ISNUMBER(N86),ISNUMBER(O86),O86&gt;0),N86/O86,"")</f>
        <v>0.7</v>
      </c>
      <c r="Q86" s="9" t="s">
        <v>7</v>
      </c>
      <c r="R86" s="9" t="s">
        <v>298</v>
      </c>
    </row>
    <row r="87" spans="1:18" x14ac:dyDescent="0.25">
      <c r="A87" s="2" t="s">
        <v>34</v>
      </c>
      <c r="B87" s="2" t="s">
        <v>35</v>
      </c>
      <c r="C87" s="2" t="s">
        <v>116</v>
      </c>
      <c r="D87" s="2" t="s">
        <v>299</v>
      </c>
      <c r="E87" s="2" t="s">
        <v>118</v>
      </c>
      <c r="F87" s="2" t="s">
        <v>73</v>
      </c>
      <c r="G87" s="2" t="s">
        <v>119</v>
      </c>
      <c r="H87" s="2" t="s">
        <v>48</v>
      </c>
      <c r="I87" s="3">
        <v>46300.41666666667</v>
      </c>
      <c r="J87" s="2" t="s">
        <v>42</v>
      </c>
      <c r="K87" s="2" t="s">
        <v>120</v>
      </c>
      <c r="L87" s="4">
        <v>27.16</v>
      </c>
      <c r="M87" s="5">
        <f>IF(AND(ISNUMBER(N87),ISNUMBER(L87),L87&gt;0),ROUND(N87/L87,2),"")</f>
        <v>902.06</v>
      </c>
      <c r="N87" s="6">
        <v>24500</v>
      </c>
      <c r="O87" s="7">
        <v>35000</v>
      </c>
      <c r="P87" s="8">
        <f>IF(AND(ISNUMBER(N87),ISNUMBER(O87),O87&gt;0),N87/O87,"")</f>
        <v>0.7</v>
      </c>
      <c r="Q87" s="9" t="s">
        <v>7</v>
      </c>
      <c r="R87" s="9" t="s">
        <v>300</v>
      </c>
    </row>
    <row r="88" spans="1:18" x14ac:dyDescent="0.25">
      <c r="A88" s="2" t="s">
        <v>34</v>
      </c>
      <c r="B88" s="2" t="s">
        <v>35</v>
      </c>
      <c r="C88" s="2" t="s">
        <v>116</v>
      </c>
      <c r="D88" s="2" t="s">
        <v>301</v>
      </c>
      <c r="E88" s="2" t="s">
        <v>118</v>
      </c>
      <c r="F88" s="2" t="s">
        <v>73</v>
      </c>
      <c r="G88" s="2" t="s">
        <v>119</v>
      </c>
      <c r="H88" s="2" t="s">
        <v>48</v>
      </c>
      <c r="I88" s="3">
        <v>46300.41666666667</v>
      </c>
      <c r="J88" s="2" t="s">
        <v>42</v>
      </c>
      <c r="K88" s="2" t="s">
        <v>120</v>
      </c>
      <c r="L88" s="4">
        <v>27.16</v>
      </c>
      <c r="M88" s="5">
        <f>IF(AND(ISNUMBER(N88),ISNUMBER(L88),L88&gt;0),ROUND(N88/L88,2),"")</f>
        <v>902.06</v>
      </c>
      <c r="N88" s="6">
        <v>24500</v>
      </c>
      <c r="O88" s="7">
        <v>35000</v>
      </c>
      <c r="P88" s="8">
        <f>IF(AND(ISNUMBER(N88),ISNUMBER(O88),O88&gt;0),N88/O88,"")</f>
        <v>0.7</v>
      </c>
      <c r="Q88" s="9" t="s">
        <v>7</v>
      </c>
      <c r="R88" s="9" t="s">
        <v>302</v>
      </c>
    </row>
    <row r="89" spans="1:18" x14ac:dyDescent="0.25">
      <c r="A89" s="2" t="s">
        <v>34</v>
      </c>
      <c r="B89" s="2" t="s">
        <v>35</v>
      </c>
      <c r="C89" s="2" t="s">
        <v>122</v>
      </c>
      <c r="D89" s="2" t="s">
        <v>303</v>
      </c>
      <c r="E89" s="2" t="s">
        <v>304</v>
      </c>
      <c r="F89" s="2" t="s">
        <v>39</v>
      </c>
      <c r="G89" s="2" t="s">
        <v>119</v>
      </c>
      <c r="H89" s="2" t="s">
        <v>41</v>
      </c>
      <c r="I89" s="3">
        <v>46283.41666666667</v>
      </c>
      <c r="J89" s="2" t="s">
        <v>42</v>
      </c>
      <c r="K89" s="2" t="s">
        <v>125</v>
      </c>
      <c r="L89" s="4">
        <v>110.88</v>
      </c>
      <c r="M89" s="5">
        <f>IF(AND(ISNUMBER(N89),ISNUMBER(L89),L89&gt;0),ROUND(N89/L89,2),"")</f>
        <v>1742.75</v>
      </c>
      <c r="N89" s="6">
        <v>193235.72</v>
      </c>
      <c r="O89" s="7">
        <v>345063.79</v>
      </c>
      <c r="P89" s="8">
        <f>IF(AND(ISNUMBER(N89),ISNUMBER(O89),O89&gt;0),N89/O89,"")</f>
        <v>0.5599999930447643</v>
      </c>
      <c r="Q89" s="2" t="s">
        <v>126</v>
      </c>
      <c r="R89" s="9" t="s">
        <v>305</v>
      </c>
    </row>
    <row r="90" spans="1:18" x14ac:dyDescent="0.25">
      <c r="A90" s="2" t="s">
        <v>34</v>
      </c>
      <c r="B90" s="2" t="s">
        <v>35</v>
      </c>
      <c r="C90" s="2" t="s">
        <v>122</v>
      </c>
      <c r="D90" s="2" t="s">
        <v>306</v>
      </c>
      <c r="E90" s="2" t="s">
        <v>304</v>
      </c>
      <c r="F90" s="2" t="s">
        <v>39</v>
      </c>
      <c r="G90" s="2" t="s">
        <v>119</v>
      </c>
      <c r="H90" s="2" t="s">
        <v>41</v>
      </c>
      <c r="I90" s="3">
        <v>46283.41666666667</v>
      </c>
      <c r="J90" s="2" t="s">
        <v>42</v>
      </c>
      <c r="K90" s="2" t="s">
        <v>125</v>
      </c>
      <c r="L90" s="4">
        <v>110.88</v>
      </c>
      <c r="M90" s="5">
        <f>IF(AND(ISNUMBER(N90),ISNUMBER(L90),L90&gt;0),ROUND(N90/L90,2),"")</f>
        <v>1747.4</v>
      </c>
      <c r="N90" s="6">
        <v>193751.44</v>
      </c>
      <c r="O90" s="7">
        <v>345984.72</v>
      </c>
      <c r="P90" s="8">
        <f>IF(AND(ISNUMBER(N90),ISNUMBER(O90),O90&gt;0),N90/O90,"")</f>
        <v>0.5599999907510367</v>
      </c>
      <c r="Q90" s="2" t="s">
        <v>126</v>
      </c>
      <c r="R90" s="9" t="s">
        <v>307</v>
      </c>
    </row>
    <row r="91" spans="1:18" x14ac:dyDescent="0.25">
      <c r="A91" s="2" t="s">
        <v>34</v>
      </c>
      <c r="B91" s="2" t="s">
        <v>35</v>
      </c>
      <c r="C91" s="2" t="s">
        <v>122</v>
      </c>
      <c r="D91" s="2" t="s">
        <v>308</v>
      </c>
      <c r="E91" s="2" t="s">
        <v>304</v>
      </c>
      <c r="F91" s="2" t="s">
        <v>39</v>
      </c>
      <c r="G91" s="2" t="s">
        <v>119</v>
      </c>
      <c r="H91" s="2" t="s">
        <v>41</v>
      </c>
      <c r="I91" s="3">
        <v>46283.41666666667</v>
      </c>
      <c r="J91" s="2" t="s">
        <v>42</v>
      </c>
      <c r="K91" s="2" t="s">
        <v>125</v>
      </c>
      <c r="L91" s="4">
        <v>115.82</v>
      </c>
      <c r="M91" s="5">
        <f>IF(AND(ISNUMBER(N91),ISNUMBER(L91),L91&gt;0),ROUND(N91/L91,2),"")</f>
        <v>1739.66</v>
      </c>
      <c r="N91" s="6">
        <v>201487.59</v>
      </c>
      <c r="O91" s="7">
        <v>359799.27</v>
      </c>
      <c r="P91" s="8">
        <f>IF(AND(ISNUMBER(N91),ISNUMBER(O91),O91&gt;0),N91/O91,"")</f>
        <v>0.5599999966648069</v>
      </c>
      <c r="Q91" s="2" t="s">
        <v>126</v>
      </c>
      <c r="R91" s="9" t="s">
        <v>309</v>
      </c>
    </row>
    <row r="92" spans="1:18" x14ac:dyDescent="0.25">
      <c r="A92" s="2" t="s">
        <v>34</v>
      </c>
      <c r="B92" s="2" t="s">
        <v>35</v>
      </c>
      <c r="C92" s="2" t="s">
        <v>116</v>
      </c>
      <c r="D92" s="2" t="s">
        <v>310</v>
      </c>
      <c r="E92" s="2" t="s">
        <v>118</v>
      </c>
      <c r="F92" s="2" t="s">
        <v>73</v>
      </c>
      <c r="G92" s="2" t="s">
        <v>119</v>
      </c>
      <c r="H92" s="2" t="s">
        <v>48</v>
      </c>
      <c r="I92" s="3">
        <v>46300.41666666667</v>
      </c>
      <c r="J92" s="2" t="s">
        <v>42</v>
      </c>
      <c r="K92" s="2" t="s">
        <v>120</v>
      </c>
      <c r="L92" s="4">
        <v>27.16</v>
      </c>
      <c r="M92" s="5">
        <f>IF(AND(ISNUMBER(N92),ISNUMBER(L92),L92&gt;0),ROUND(N92/L92,2),"")</f>
        <v>902.06</v>
      </c>
      <c r="N92" s="6">
        <v>24500</v>
      </c>
      <c r="O92" s="7">
        <v>35000</v>
      </c>
      <c r="P92" s="8">
        <f>IF(AND(ISNUMBER(N92),ISNUMBER(O92),O92&gt;0),N92/O92,"")</f>
        <v>0.7</v>
      </c>
      <c r="Q92" s="9" t="s">
        <v>7</v>
      </c>
      <c r="R92" s="9" t="s">
        <v>311</v>
      </c>
    </row>
    <row r="93" spans="1:18" x14ac:dyDescent="0.25">
      <c r="A93" s="2" t="s">
        <v>34</v>
      </c>
      <c r="B93" s="2" t="s">
        <v>35</v>
      </c>
      <c r="C93" s="2" t="s">
        <v>122</v>
      </c>
      <c r="D93" s="2" t="s">
        <v>312</v>
      </c>
      <c r="E93" s="2" t="s">
        <v>304</v>
      </c>
      <c r="F93" s="2" t="s">
        <v>39</v>
      </c>
      <c r="G93" s="2" t="s">
        <v>119</v>
      </c>
      <c r="H93" s="2" t="s">
        <v>41</v>
      </c>
      <c r="I93" s="3">
        <v>46283.41666666667</v>
      </c>
      <c r="J93" s="2" t="s">
        <v>42</v>
      </c>
      <c r="K93" s="2" t="s">
        <v>125</v>
      </c>
      <c r="L93" s="4">
        <v>110.88</v>
      </c>
      <c r="M93" s="5">
        <f>IF(AND(ISNUMBER(N93),ISNUMBER(L93),L93&gt;0),ROUND(N93/L93,2),"")</f>
        <v>1743.91</v>
      </c>
      <c r="N93" s="6">
        <v>193364.65</v>
      </c>
      <c r="O93" s="7">
        <v>345294.02</v>
      </c>
      <c r="P93" s="8">
        <f>IF(AND(ISNUMBER(N93),ISNUMBER(O93),O93&gt;0),N93/O93,"")</f>
        <v>0.5599999965247009</v>
      </c>
      <c r="Q93" s="2" t="s">
        <v>126</v>
      </c>
      <c r="R93" s="9" t="s">
        <v>313</v>
      </c>
    </row>
    <row r="94" spans="1:18" x14ac:dyDescent="0.25">
      <c r="A94" s="2" t="s">
        <v>34</v>
      </c>
      <c r="B94" s="2" t="s">
        <v>35</v>
      </c>
      <c r="C94" s="2" t="s">
        <v>116</v>
      </c>
      <c r="D94" s="2" t="s">
        <v>314</v>
      </c>
      <c r="E94" s="2" t="s">
        <v>118</v>
      </c>
      <c r="F94" s="2" t="s">
        <v>73</v>
      </c>
      <c r="G94" s="2" t="s">
        <v>119</v>
      </c>
      <c r="H94" s="2" t="s">
        <v>48</v>
      </c>
      <c r="I94" s="3">
        <v>46300.41666666667</v>
      </c>
      <c r="J94" s="2" t="s">
        <v>42</v>
      </c>
      <c r="K94" s="2" t="s">
        <v>120</v>
      </c>
      <c r="L94" s="4">
        <v>27.16</v>
      </c>
      <c r="M94" s="5">
        <f>IF(AND(ISNUMBER(N94),ISNUMBER(L94),L94&gt;0),ROUND(N94/L94,2),"")</f>
        <v>902.06</v>
      </c>
      <c r="N94" s="6">
        <v>24500</v>
      </c>
      <c r="O94" s="7">
        <v>35000</v>
      </c>
      <c r="P94" s="8">
        <f>IF(AND(ISNUMBER(N94),ISNUMBER(O94),O94&gt;0),N94/O94,"")</f>
        <v>0.7</v>
      </c>
      <c r="Q94" s="9" t="s">
        <v>7</v>
      </c>
      <c r="R94" s="9" t="s">
        <v>315</v>
      </c>
    </row>
    <row r="95" spans="1:18" x14ac:dyDescent="0.25">
      <c r="A95" s="2" t="s">
        <v>34</v>
      </c>
      <c r="B95" s="2" t="s">
        <v>35</v>
      </c>
      <c r="C95" s="2" t="s">
        <v>122</v>
      </c>
      <c r="D95" s="2" t="s">
        <v>316</v>
      </c>
      <c r="E95" s="2" t="s">
        <v>304</v>
      </c>
      <c r="F95" s="2" t="s">
        <v>39</v>
      </c>
      <c r="G95" s="2" t="s">
        <v>119</v>
      </c>
      <c r="H95" s="2" t="s">
        <v>41</v>
      </c>
      <c r="I95" s="3">
        <v>46283.41666666667</v>
      </c>
      <c r="J95" s="2" t="s">
        <v>42</v>
      </c>
      <c r="K95" s="2" t="s">
        <v>125</v>
      </c>
      <c r="L95" s="4">
        <v>110.88</v>
      </c>
      <c r="M95" s="5">
        <f>IF(AND(ISNUMBER(N95),ISNUMBER(L95),L95&gt;0),ROUND(N95/L95,2),"")</f>
        <v>1743.91</v>
      </c>
      <c r="N95" s="6">
        <v>193364.65</v>
      </c>
      <c r="O95" s="7">
        <v>345294.02</v>
      </c>
      <c r="P95" s="8">
        <f>IF(AND(ISNUMBER(N95),ISNUMBER(O95),O95&gt;0),N95/O95,"")</f>
        <v>0.5599999965247009</v>
      </c>
      <c r="Q95" s="2" t="s">
        <v>162</v>
      </c>
      <c r="R95" s="9" t="s">
        <v>317</v>
      </c>
    </row>
    <row r="96" spans="1:18" x14ac:dyDescent="0.25">
      <c r="A96" s="2" t="s">
        <v>34</v>
      </c>
      <c r="B96" s="2" t="s">
        <v>35</v>
      </c>
      <c r="C96" s="2" t="s">
        <v>122</v>
      </c>
      <c r="D96" s="2" t="s">
        <v>318</v>
      </c>
      <c r="E96" s="2" t="s">
        <v>304</v>
      </c>
      <c r="F96" s="2" t="s">
        <v>39</v>
      </c>
      <c r="G96" s="2" t="s">
        <v>119</v>
      </c>
      <c r="H96" s="2" t="s">
        <v>41</v>
      </c>
      <c r="I96" s="3">
        <v>46283.41666666667</v>
      </c>
      <c r="J96" s="2" t="s">
        <v>42</v>
      </c>
      <c r="K96" s="2" t="s">
        <v>125</v>
      </c>
      <c r="L96" s="4">
        <v>110.88</v>
      </c>
      <c r="M96" s="5">
        <f>IF(AND(ISNUMBER(N96),ISNUMBER(L96),L96&gt;0),ROUND(N96/L96,2),"")</f>
        <v>1748.56</v>
      </c>
      <c r="N96" s="6">
        <v>193880.38</v>
      </c>
      <c r="O96" s="7">
        <v>346214.96</v>
      </c>
      <c r="P96" s="8">
        <f>IF(AND(ISNUMBER(N96),ISNUMBER(O96),O96&gt;0),N96/O96,"")</f>
        <v>0.5600000069321095</v>
      </c>
      <c r="Q96" s="9" t="s">
        <v>7</v>
      </c>
      <c r="R96" s="9" t="s">
        <v>319</v>
      </c>
    </row>
    <row r="97" spans="1:18" x14ac:dyDescent="0.25">
      <c r="A97" s="2" t="s">
        <v>34</v>
      </c>
      <c r="B97" s="2" t="s">
        <v>35</v>
      </c>
      <c r="C97" s="2" t="s">
        <v>116</v>
      </c>
      <c r="D97" s="2" t="s">
        <v>320</v>
      </c>
      <c r="E97" s="2" t="s">
        <v>321</v>
      </c>
      <c r="F97" s="2" t="s">
        <v>73</v>
      </c>
      <c r="G97" s="2" t="s">
        <v>119</v>
      </c>
      <c r="H97" s="2" t="s">
        <v>78</v>
      </c>
      <c r="I97" s="3">
        <v>46286.41666666667</v>
      </c>
      <c r="J97" s="2" t="s">
        <v>42</v>
      </c>
      <c r="K97" s="2" t="s">
        <v>120</v>
      </c>
      <c r="L97" s="4">
        <v>176.13</v>
      </c>
      <c r="M97" s="5">
        <f>IF(AND(ISNUMBER(N97),ISNUMBER(L97),L97&gt;0),ROUND(N97/L97,2),"")</f>
        <v>5744.05</v>
      </c>
      <c r="N97" s="6">
        <v>1011700</v>
      </c>
      <c r="O97" s="7">
        <v>1806500</v>
      </c>
      <c r="P97" s="8">
        <f>IF(AND(ISNUMBER(N97),ISNUMBER(O97),O97&gt;0),N97/O97,"")</f>
        <v>0.5600332133960697</v>
      </c>
      <c r="Q97" s="9" t="s">
        <v>7</v>
      </c>
      <c r="R97" s="9" t="s">
        <v>322</v>
      </c>
    </row>
    <row r="98" spans="1:18" x14ac:dyDescent="0.25">
      <c r="A98" s="2" t="s">
        <v>34</v>
      </c>
      <c r="B98" s="2" t="s">
        <v>35</v>
      </c>
      <c r="C98" s="2" t="s">
        <v>116</v>
      </c>
      <c r="D98" s="2" t="s">
        <v>323</v>
      </c>
      <c r="E98" s="2" t="s">
        <v>324</v>
      </c>
      <c r="F98" s="2" t="s">
        <v>39</v>
      </c>
      <c r="G98" s="2" t="s">
        <v>119</v>
      </c>
      <c r="H98" s="2" t="s">
        <v>78</v>
      </c>
      <c r="I98" s="3">
        <v>46286.41666666667</v>
      </c>
      <c r="J98" s="2" t="s">
        <v>42</v>
      </c>
      <c r="K98" s="2" t="s">
        <v>120</v>
      </c>
      <c r="L98" s="4">
        <v>417.18</v>
      </c>
      <c r="M98" s="5">
        <f>IF(AND(ISNUMBER(N98),ISNUMBER(L98),L98&gt;0),ROUND(N98/L98,2),"")</f>
        <v>2361.36</v>
      </c>
      <c r="N98" s="6">
        <v>985112.24</v>
      </c>
      <c r="O98" s="7">
        <v>1759129</v>
      </c>
      <c r="P98" s="8">
        <f>IF(AND(ISNUMBER(N98),ISNUMBER(O98),O98&gt;0),N98/O98,"")</f>
        <v>0.5599999999999999</v>
      </c>
      <c r="Q98" s="2" t="s">
        <v>325</v>
      </c>
      <c r="R98" s="9" t="s">
        <v>326</v>
      </c>
    </row>
    <row r="99" spans="1:18" x14ac:dyDescent="0.25">
      <c r="A99" s="2" t="s">
        <v>34</v>
      </c>
      <c r="B99" s="2" t="s">
        <v>35</v>
      </c>
      <c r="C99" s="2" t="s">
        <v>116</v>
      </c>
      <c r="D99" s="2" t="s">
        <v>327</v>
      </c>
      <c r="E99" s="2" t="s">
        <v>118</v>
      </c>
      <c r="F99" s="2" t="s">
        <v>73</v>
      </c>
      <c r="G99" s="2" t="s">
        <v>119</v>
      </c>
      <c r="H99" s="2" t="s">
        <v>48</v>
      </c>
      <c r="I99" s="3">
        <v>46300.41666666667</v>
      </c>
      <c r="J99" s="2" t="s">
        <v>42</v>
      </c>
      <c r="K99" s="2" t="s">
        <v>120</v>
      </c>
      <c r="L99" s="4">
        <v>27.16</v>
      </c>
      <c r="M99" s="5">
        <f>IF(AND(ISNUMBER(N99),ISNUMBER(L99),L99&gt;0),ROUND(N99/L99,2),"")</f>
        <v>902.06</v>
      </c>
      <c r="N99" s="6">
        <v>24500</v>
      </c>
      <c r="O99" s="7">
        <v>35000</v>
      </c>
      <c r="P99" s="8">
        <f>IF(AND(ISNUMBER(N99),ISNUMBER(O99),O99&gt;0),N99/O99,"")</f>
        <v>0.7</v>
      </c>
      <c r="Q99" s="9" t="s">
        <v>7</v>
      </c>
      <c r="R99" s="9" t="s">
        <v>328</v>
      </c>
    </row>
    <row r="100" spans="1:18" x14ac:dyDescent="0.25">
      <c r="A100" s="2" t="s">
        <v>34</v>
      </c>
      <c r="B100" s="2" t="s">
        <v>35</v>
      </c>
      <c r="C100" s="2" t="s">
        <v>122</v>
      </c>
      <c r="D100" s="2" t="s">
        <v>329</v>
      </c>
      <c r="E100" s="2" t="s">
        <v>304</v>
      </c>
      <c r="F100" s="2" t="s">
        <v>39</v>
      </c>
      <c r="G100" s="2" t="s">
        <v>119</v>
      </c>
      <c r="H100" s="2" t="s">
        <v>41</v>
      </c>
      <c r="I100" s="3">
        <v>46283.41666666667</v>
      </c>
      <c r="J100" s="2" t="s">
        <v>42</v>
      </c>
      <c r="K100" s="2" t="s">
        <v>125</v>
      </c>
      <c r="L100" s="4">
        <v>115.82</v>
      </c>
      <c r="M100" s="5">
        <f>IF(AND(ISNUMBER(N100),ISNUMBER(L100),L100&gt;0),ROUND(N100/L100,2),"")</f>
        <v>1748.96</v>
      </c>
      <c r="N100" s="6">
        <v>202565</v>
      </c>
      <c r="O100" s="7">
        <v>361723.21</v>
      </c>
      <c r="P100" s="8">
        <f>IF(AND(ISNUMBER(N100),ISNUMBER(O100),O100&gt;0),N100/O100,"")</f>
        <v>0.5600000066349073</v>
      </c>
      <c r="Q100" s="2" t="s">
        <v>162</v>
      </c>
      <c r="R100" s="9" t="s">
        <v>330</v>
      </c>
    </row>
    <row r="101" spans="1:18" x14ac:dyDescent="0.25">
      <c r="A101" s="2" t="s">
        <v>34</v>
      </c>
      <c r="B101" s="2" t="s">
        <v>35</v>
      </c>
      <c r="C101" s="2" t="s">
        <v>122</v>
      </c>
      <c r="D101" s="2" t="s">
        <v>331</v>
      </c>
      <c r="E101" s="2" t="s">
        <v>304</v>
      </c>
      <c r="F101" s="2" t="s">
        <v>39</v>
      </c>
      <c r="G101" s="2" t="s">
        <v>119</v>
      </c>
      <c r="H101" s="2" t="s">
        <v>41</v>
      </c>
      <c r="I101" s="3">
        <v>46283.41666666667</v>
      </c>
      <c r="J101" s="2" t="s">
        <v>42</v>
      </c>
      <c r="K101" s="2" t="s">
        <v>125</v>
      </c>
      <c r="L101" s="4">
        <v>110.88</v>
      </c>
      <c r="M101" s="5">
        <f>IF(AND(ISNUMBER(N101),ISNUMBER(L101),L101&gt;0),ROUND(N101/L101,2),"")</f>
        <v>1739.26</v>
      </c>
      <c r="N101" s="6">
        <v>192848.93</v>
      </c>
      <c r="O101" s="7">
        <v>344373.08</v>
      </c>
      <c r="P101" s="8">
        <f>IF(AND(ISNUMBER(N101),ISNUMBER(O101),O101&gt;0),N101/O101,"")</f>
        <v>0.5600000150999026</v>
      </c>
      <c r="Q101" s="2" t="s">
        <v>126</v>
      </c>
      <c r="R101" s="9" t="s">
        <v>332</v>
      </c>
    </row>
    <row r="102" spans="1:18" x14ac:dyDescent="0.25">
      <c r="A102" s="2" t="s">
        <v>34</v>
      </c>
      <c r="B102" s="2" t="s">
        <v>35</v>
      </c>
      <c r="C102" s="2" t="s">
        <v>63</v>
      </c>
      <c r="D102" s="2" t="s">
        <v>333</v>
      </c>
      <c r="E102" s="2" t="s">
        <v>334</v>
      </c>
      <c r="F102" s="2" t="s">
        <v>39</v>
      </c>
      <c r="G102" s="2" t="s">
        <v>119</v>
      </c>
      <c r="H102" s="2" t="s">
        <v>41</v>
      </c>
      <c r="I102" s="3">
        <v>46286.41666666667</v>
      </c>
      <c r="J102" s="2" t="s">
        <v>42</v>
      </c>
      <c r="K102" s="2" t="s">
        <v>120</v>
      </c>
      <c r="L102" s="4">
        <v>167.14</v>
      </c>
      <c r="M102" s="5">
        <f>IF(AND(ISNUMBER(N102),ISNUMBER(L102),L102&gt;0),ROUND(N102/L102,2),"")</f>
        <v>8304.42</v>
      </c>
      <c r="N102" s="6">
        <v>1388000</v>
      </c>
      <c r="O102" s="7">
        <v>2477981</v>
      </c>
      <c r="P102" s="8">
        <f>IF(AND(ISNUMBER(N102),ISNUMBER(O102),O102&gt;0),N102/O102,"")</f>
        <v>0.5601334312087138</v>
      </c>
      <c r="Q102" s="9" t="s">
        <v>7</v>
      </c>
      <c r="R102" s="9" t="s">
        <v>335</v>
      </c>
    </row>
    <row r="103" spans="1:18" x14ac:dyDescent="0.25">
      <c r="A103" s="2" t="s">
        <v>34</v>
      </c>
      <c r="B103" s="2" t="s">
        <v>35</v>
      </c>
      <c r="C103" s="2" t="s">
        <v>116</v>
      </c>
      <c r="D103" s="2" t="s">
        <v>336</v>
      </c>
      <c r="E103" s="2" t="s">
        <v>118</v>
      </c>
      <c r="F103" s="2" t="s">
        <v>73</v>
      </c>
      <c r="G103" s="2" t="s">
        <v>119</v>
      </c>
      <c r="H103" s="2" t="s">
        <v>48</v>
      </c>
      <c r="I103" s="3">
        <v>46300.41666666667</v>
      </c>
      <c r="J103" s="2" t="s">
        <v>42</v>
      </c>
      <c r="K103" s="2" t="s">
        <v>120</v>
      </c>
      <c r="L103" s="4">
        <v>27.16</v>
      </c>
      <c r="M103" s="5">
        <f>IF(AND(ISNUMBER(N103),ISNUMBER(L103),L103&gt;0),ROUND(N103/L103,2),"")</f>
        <v>902.06</v>
      </c>
      <c r="N103" s="6">
        <v>24500</v>
      </c>
      <c r="O103" s="7">
        <v>35000</v>
      </c>
      <c r="P103" s="8">
        <f>IF(AND(ISNUMBER(N103),ISNUMBER(O103),O103&gt;0),N103/O103,"")</f>
        <v>0.7</v>
      </c>
      <c r="Q103" s="9" t="s">
        <v>7</v>
      </c>
      <c r="R103" s="9" t="s">
        <v>337</v>
      </c>
    </row>
    <row r="104" spans="1:18" x14ac:dyDescent="0.25">
      <c r="A104" s="2" t="s">
        <v>34</v>
      </c>
      <c r="B104" s="2" t="s">
        <v>35</v>
      </c>
      <c r="C104" s="2" t="s">
        <v>122</v>
      </c>
      <c r="D104" s="2" t="s">
        <v>338</v>
      </c>
      <c r="E104" s="2" t="s">
        <v>304</v>
      </c>
      <c r="F104" s="2" t="s">
        <v>39</v>
      </c>
      <c r="G104" s="2" t="s">
        <v>119</v>
      </c>
      <c r="H104" s="2" t="s">
        <v>41</v>
      </c>
      <c r="I104" s="3">
        <v>46283.41666666667</v>
      </c>
      <c r="J104" s="2" t="s">
        <v>42</v>
      </c>
      <c r="K104" s="2" t="s">
        <v>125</v>
      </c>
      <c r="L104" s="4">
        <v>110.88</v>
      </c>
      <c r="M104" s="5">
        <f>IF(AND(ISNUMBER(N104),ISNUMBER(L104),L104&gt;0),ROUND(N104/L104,2),"")</f>
        <v>1736.42</v>
      </c>
      <c r="N104" s="6">
        <v>192533.76</v>
      </c>
      <c r="O104" s="7">
        <v>343810.29</v>
      </c>
      <c r="P104" s="8">
        <f>IF(AND(ISNUMBER(N104),ISNUMBER(O104),O104&gt;0),N104/O104,"")</f>
        <v>0.5599999930194062</v>
      </c>
      <c r="Q104" s="2" t="s">
        <v>162</v>
      </c>
      <c r="R104" s="9" t="s">
        <v>339</v>
      </c>
    </row>
    <row r="105" spans="1:18" x14ac:dyDescent="0.25">
      <c r="A105" s="2" t="s">
        <v>34</v>
      </c>
      <c r="B105" s="2" t="s">
        <v>35</v>
      </c>
      <c r="C105" s="2" t="s">
        <v>122</v>
      </c>
      <c r="D105" s="2" t="s">
        <v>340</v>
      </c>
      <c r="E105" s="2" t="s">
        <v>341</v>
      </c>
      <c r="F105" s="2" t="s">
        <v>39</v>
      </c>
      <c r="G105" s="2" t="s">
        <v>119</v>
      </c>
      <c r="H105" s="2" t="s">
        <v>41</v>
      </c>
      <c r="I105" s="3">
        <v>46283.41666666667</v>
      </c>
      <c r="J105" s="2" t="s">
        <v>42</v>
      </c>
      <c r="K105" s="2" t="s">
        <v>125</v>
      </c>
      <c r="L105" s="4">
        <v>121.06</v>
      </c>
      <c r="M105" s="5">
        <f>IF(AND(ISNUMBER(N105),ISNUMBER(L105),L105&gt;0),ROUND(N105/L105,2),"")</f>
        <v>2459.37</v>
      </c>
      <c r="N105" s="6">
        <v>297731.42</v>
      </c>
      <c r="O105" s="7">
        <v>531663.26</v>
      </c>
      <c r="P105" s="8">
        <f>IF(AND(ISNUMBER(N105),ISNUMBER(O105),O105&gt;0),N105/O105,"")</f>
        <v>0.5599999894670171</v>
      </c>
      <c r="Q105" s="2" t="s">
        <v>162</v>
      </c>
      <c r="R105" s="9" t="s">
        <v>342</v>
      </c>
    </row>
    <row r="106" spans="1:18" x14ac:dyDescent="0.25">
      <c r="A106" s="2" t="s">
        <v>34</v>
      </c>
      <c r="B106" s="2" t="s">
        <v>35</v>
      </c>
      <c r="C106" s="2" t="s">
        <v>63</v>
      </c>
      <c r="D106" s="2" t="s">
        <v>343</v>
      </c>
      <c r="E106" s="2" t="s">
        <v>344</v>
      </c>
      <c r="F106" s="2" t="s">
        <v>39</v>
      </c>
      <c r="G106" s="2" t="s">
        <v>119</v>
      </c>
      <c r="H106" s="2" t="s">
        <v>41</v>
      </c>
      <c r="I106" s="3">
        <v>46286.41666666667</v>
      </c>
      <c r="J106" s="2" t="s">
        <v>42</v>
      </c>
      <c r="K106" s="2" t="s">
        <v>94</v>
      </c>
      <c r="L106" s="4">
        <v>93.76</v>
      </c>
      <c r="M106" s="5">
        <f>IF(AND(ISNUMBER(N106),ISNUMBER(L106),L106&gt;0),ROUND(N106/L106,2),"")</f>
        <v>7681.64</v>
      </c>
      <c r="N106" s="6">
        <v>720231</v>
      </c>
      <c r="O106" s="7">
        <v>1286125</v>
      </c>
      <c r="P106" s="8">
        <f>IF(AND(ISNUMBER(N106),ISNUMBER(O106),O106&gt;0),N106/O106,"")</f>
        <v>0.5600007775294004</v>
      </c>
      <c r="Q106" s="9" t="s">
        <v>7</v>
      </c>
      <c r="R106" s="9" t="s">
        <v>345</v>
      </c>
    </row>
    <row r="107" spans="1:18" x14ac:dyDescent="0.25">
      <c r="A107" s="2" t="s">
        <v>34</v>
      </c>
      <c r="B107" s="2" t="s">
        <v>35</v>
      </c>
      <c r="C107" s="2" t="s">
        <v>116</v>
      </c>
      <c r="D107" s="2" t="s">
        <v>346</v>
      </c>
      <c r="E107" s="2" t="s">
        <v>118</v>
      </c>
      <c r="F107" s="2" t="s">
        <v>73</v>
      </c>
      <c r="G107" s="2" t="s">
        <v>119</v>
      </c>
      <c r="H107" s="2" t="s">
        <v>48</v>
      </c>
      <c r="I107" s="3">
        <v>46300.41666666667</v>
      </c>
      <c r="J107" s="2" t="s">
        <v>42</v>
      </c>
      <c r="K107" s="2" t="s">
        <v>120</v>
      </c>
      <c r="L107" s="4">
        <v>27.16</v>
      </c>
      <c r="M107" s="5">
        <f>IF(AND(ISNUMBER(N107),ISNUMBER(L107),L107&gt;0),ROUND(N107/L107,2),"")</f>
        <v>902.06</v>
      </c>
      <c r="N107" s="6">
        <v>24500</v>
      </c>
      <c r="O107" s="7">
        <v>35000</v>
      </c>
      <c r="P107" s="8">
        <f>IF(AND(ISNUMBER(N107),ISNUMBER(O107),O107&gt;0),N107/O107,"")</f>
        <v>0.7</v>
      </c>
      <c r="Q107" s="9" t="s">
        <v>7</v>
      </c>
      <c r="R107" s="9" t="s">
        <v>347</v>
      </c>
    </row>
    <row r="108" spans="1:18" x14ac:dyDescent="0.25">
      <c r="A108" s="2" t="s">
        <v>34</v>
      </c>
      <c r="B108" s="2" t="s">
        <v>35</v>
      </c>
      <c r="C108" s="2" t="s">
        <v>116</v>
      </c>
      <c r="D108" s="2" t="s">
        <v>348</v>
      </c>
      <c r="E108" s="2" t="s">
        <v>118</v>
      </c>
      <c r="F108" s="2" t="s">
        <v>73</v>
      </c>
      <c r="G108" s="2" t="s">
        <v>119</v>
      </c>
      <c r="H108" s="2" t="s">
        <v>48</v>
      </c>
      <c r="I108" s="3">
        <v>46300.41666666667</v>
      </c>
      <c r="J108" s="2" t="s">
        <v>42</v>
      </c>
      <c r="K108" s="2" t="s">
        <v>120</v>
      </c>
      <c r="L108" s="4">
        <v>27.16</v>
      </c>
      <c r="M108" s="5">
        <f>IF(AND(ISNUMBER(N108),ISNUMBER(L108),L108&gt;0),ROUND(N108/L108,2),"")</f>
        <v>902.06</v>
      </c>
      <c r="N108" s="6">
        <v>24500</v>
      </c>
      <c r="O108" s="7">
        <v>35000</v>
      </c>
      <c r="P108" s="8">
        <f>IF(AND(ISNUMBER(N108),ISNUMBER(O108),O108&gt;0),N108/O108,"")</f>
        <v>0.7</v>
      </c>
      <c r="Q108" s="9" t="s">
        <v>7</v>
      </c>
      <c r="R108" s="9" t="s">
        <v>349</v>
      </c>
    </row>
    <row r="109" spans="1:18" x14ac:dyDescent="0.25">
      <c r="A109" s="2" t="s">
        <v>34</v>
      </c>
      <c r="B109" s="2" t="s">
        <v>35</v>
      </c>
      <c r="C109" s="2" t="s">
        <v>116</v>
      </c>
      <c r="D109" s="2" t="s">
        <v>350</v>
      </c>
      <c r="E109" s="2" t="s">
        <v>118</v>
      </c>
      <c r="F109" s="2" t="s">
        <v>73</v>
      </c>
      <c r="G109" s="2" t="s">
        <v>119</v>
      </c>
      <c r="H109" s="2" t="s">
        <v>48</v>
      </c>
      <c r="I109" s="3">
        <v>46300.41666666667</v>
      </c>
      <c r="J109" s="2" t="s">
        <v>42</v>
      </c>
      <c r="K109" s="2" t="s">
        <v>120</v>
      </c>
      <c r="L109" s="4">
        <v>27.16</v>
      </c>
      <c r="M109" s="5">
        <f>IF(AND(ISNUMBER(N109),ISNUMBER(L109),L109&gt;0),ROUND(N109/L109,2),"")</f>
        <v>902.06</v>
      </c>
      <c r="N109" s="6">
        <v>24500</v>
      </c>
      <c r="O109" s="7">
        <v>35000</v>
      </c>
      <c r="P109" s="8">
        <f>IF(AND(ISNUMBER(N109),ISNUMBER(O109),O109&gt;0),N109/O109,"")</f>
        <v>0.7</v>
      </c>
      <c r="Q109" s="9" t="s">
        <v>7</v>
      </c>
      <c r="R109" s="9" t="s">
        <v>351</v>
      </c>
    </row>
    <row r="110" spans="1:18" x14ac:dyDescent="0.25">
      <c r="A110" s="2" t="s">
        <v>34</v>
      </c>
      <c r="B110" s="2" t="s">
        <v>35</v>
      </c>
      <c r="C110" s="2" t="s">
        <v>116</v>
      </c>
      <c r="D110" s="2" t="s">
        <v>352</v>
      </c>
      <c r="E110" s="2" t="s">
        <v>118</v>
      </c>
      <c r="F110" s="2" t="s">
        <v>73</v>
      </c>
      <c r="G110" s="2" t="s">
        <v>119</v>
      </c>
      <c r="H110" s="2" t="s">
        <v>48</v>
      </c>
      <c r="I110" s="3">
        <v>46300.41666666667</v>
      </c>
      <c r="J110" s="2" t="s">
        <v>42</v>
      </c>
      <c r="K110" s="2" t="s">
        <v>120</v>
      </c>
      <c r="L110" s="4">
        <v>27.16</v>
      </c>
      <c r="M110" s="5">
        <f>IF(AND(ISNUMBER(N110),ISNUMBER(L110),L110&gt;0),ROUND(N110/L110,2),"")</f>
        <v>902.06</v>
      </c>
      <c r="N110" s="6">
        <v>24500</v>
      </c>
      <c r="O110" s="7">
        <v>35000</v>
      </c>
      <c r="P110" s="8">
        <f>IF(AND(ISNUMBER(N110),ISNUMBER(O110),O110&gt;0),N110/O110,"")</f>
        <v>0.7</v>
      </c>
      <c r="Q110" s="9" t="s">
        <v>7</v>
      </c>
      <c r="R110" s="9" t="s">
        <v>353</v>
      </c>
    </row>
    <row r="111" spans="1:18" x14ac:dyDescent="0.25">
      <c r="A111" s="2" t="s">
        <v>34</v>
      </c>
      <c r="B111" s="2" t="s">
        <v>35</v>
      </c>
      <c r="C111" s="2" t="s">
        <v>116</v>
      </c>
      <c r="D111" s="2" t="s">
        <v>354</v>
      </c>
      <c r="E111" s="2" t="s">
        <v>118</v>
      </c>
      <c r="F111" s="2" t="s">
        <v>73</v>
      </c>
      <c r="G111" s="2" t="s">
        <v>119</v>
      </c>
      <c r="H111" s="2" t="s">
        <v>48</v>
      </c>
      <c r="I111" s="3">
        <v>46300.41666666667</v>
      </c>
      <c r="J111" s="2" t="s">
        <v>42</v>
      </c>
      <c r="K111" s="2" t="s">
        <v>120</v>
      </c>
      <c r="L111" s="4">
        <v>27.16</v>
      </c>
      <c r="M111" s="5">
        <f>IF(AND(ISNUMBER(N111),ISNUMBER(L111),L111&gt;0),ROUND(N111/L111,2),"")</f>
        <v>902.06</v>
      </c>
      <c r="N111" s="6">
        <v>24500</v>
      </c>
      <c r="O111" s="7">
        <v>35000</v>
      </c>
      <c r="P111" s="8">
        <f>IF(AND(ISNUMBER(N111),ISNUMBER(O111),O111&gt;0),N111/O111,"")</f>
        <v>0.7</v>
      </c>
      <c r="Q111" s="9" t="s">
        <v>7</v>
      </c>
      <c r="R111" s="9" t="s">
        <v>355</v>
      </c>
    </row>
    <row r="112" spans="1:18" x14ac:dyDescent="0.25">
      <c r="A112" s="2" t="s">
        <v>34</v>
      </c>
      <c r="B112" s="2" t="s">
        <v>35</v>
      </c>
      <c r="C112" s="2" t="s">
        <v>116</v>
      </c>
      <c r="D112" s="2" t="s">
        <v>356</v>
      </c>
      <c r="E112" s="2" t="s">
        <v>118</v>
      </c>
      <c r="F112" s="2" t="s">
        <v>73</v>
      </c>
      <c r="G112" s="2" t="s">
        <v>119</v>
      </c>
      <c r="H112" s="2" t="s">
        <v>48</v>
      </c>
      <c r="I112" s="3">
        <v>46300.41666666667</v>
      </c>
      <c r="J112" s="2" t="s">
        <v>42</v>
      </c>
      <c r="K112" s="2" t="s">
        <v>120</v>
      </c>
      <c r="L112" s="4">
        <v>27.16</v>
      </c>
      <c r="M112" s="5">
        <f>IF(AND(ISNUMBER(N112),ISNUMBER(L112),L112&gt;0),ROUND(N112/L112,2),"")</f>
        <v>902.06</v>
      </c>
      <c r="N112" s="6">
        <v>24500</v>
      </c>
      <c r="O112" s="7">
        <v>35000</v>
      </c>
      <c r="P112" s="8">
        <f>IF(AND(ISNUMBER(N112),ISNUMBER(O112),O112&gt;0),N112/O112,"")</f>
        <v>0.7</v>
      </c>
      <c r="Q112" s="9" t="s">
        <v>7</v>
      </c>
      <c r="R112" s="9" t="s">
        <v>357</v>
      </c>
    </row>
    <row r="113" spans="1:18" x14ac:dyDescent="0.25">
      <c r="A113" s="2" t="s">
        <v>34</v>
      </c>
      <c r="B113" s="2" t="s">
        <v>35</v>
      </c>
      <c r="C113" s="2" t="s">
        <v>116</v>
      </c>
      <c r="D113" s="2" t="s">
        <v>358</v>
      </c>
      <c r="E113" s="2" t="s">
        <v>118</v>
      </c>
      <c r="F113" s="2" t="s">
        <v>73</v>
      </c>
      <c r="G113" s="2" t="s">
        <v>119</v>
      </c>
      <c r="H113" s="2" t="s">
        <v>48</v>
      </c>
      <c r="I113" s="3">
        <v>46300.41666666667</v>
      </c>
      <c r="J113" s="2" t="s">
        <v>42</v>
      </c>
      <c r="K113" s="2" t="s">
        <v>120</v>
      </c>
      <c r="L113" s="4">
        <v>27.16</v>
      </c>
      <c r="M113" s="5">
        <f>IF(AND(ISNUMBER(N113),ISNUMBER(L113),L113&gt;0),ROUND(N113/L113,2),"")</f>
        <v>902.06</v>
      </c>
      <c r="N113" s="6">
        <v>24500</v>
      </c>
      <c r="O113" s="7">
        <v>35000</v>
      </c>
      <c r="P113" s="8">
        <f>IF(AND(ISNUMBER(N113),ISNUMBER(O113),O113&gt;0),N113/O113,"")</f>
        <v>0.7</v>
      </c>
      <c r="Q113" s="9" t="s">
        <v>7</v>
      </c>
      <c r="R113" s="9" t="s">
        <v>359</v>
      </c>
    </row>
    <row r="114" spans="1:18" x14ac:dyDescent="0.25">
      <c r="A114" s="2" t="s">
        <v>34</v>
      </c>
      <c r="B114" s="2" t="s">
        <v>35</v>
      </c>
      <c r="C114" s="2" t="s">
        <v>116</v>
      </c>
      <c r="D114" s="2" t="s">
        <v>360</v>
      </c>
      <c r="E114" s="2" t="s">
        <v>118</v>
      </c>
      <c r="F114" s="2" t="s">
        <v>73</v>
      </c>
      <c r="G114" s="2" t="s">
        <v>119</v>
      </c>
      <c r="H114" s="2" t="s">
        <v>48</v>
      </c>
      <c r="I114" s="3">
        <v>46300.41666666667</v>
      </c>
      <c r="J114" s="2" t="s">
        <v>42</v>
      </c>
      <c r="K114" s="2" t="s">
        <v>120</v>
      </c>
      <c r="L114" s="4">
        <v>27.16</v>
      </c>
      <c r="M114" s="5">
        <f>IF(AND(ISNUMBER(N114),ISNUMBER(L114),L114&gt;0),ROUND(N114/L114,2),"")</f>
        <v>902.06</v>
      </c>
      <c r="N114" s="6">
        <v>24500</v>
      </c>
      <c r="O114" s="7">
        <v>35000</v>
      </c>
      <c r="P114" s="8">
        <f>IF(AND(ISNUMBER(N114),ISNUMBER(O114),O114&gt;0),N114/O114,"")</f>
        <v>0.7</v>
      </c>
      <c r="Q114" s="9" t="s">
        <v>7</v>
      </c>
      <c r="R114" s="9" t="s">
        <v>361</v>
      </c>
    </row>
    <row r="115" spans="1:18" x14ac:dyDescent="0.25">
      <c r="A115" s="2" t="s">
        <v>34</v>
      </c>
      <c r="B115" s="2" t="s">
        <v>35</v>
      </c>
      <c r="C115" s="2" t="s">
        <v>116</v>
      </c>
      <c r="D115" s="2" t="s">
        <v>362</v>
      </c>
      <c r="E115" s="2" t="s">
        <v>118</v>
      </c>
      <c r="F115" s="2" t="s">
        <v>73</v>
      </c>
      <c r="G115" s="2" t="s">
        <v>119</v>
      </c>
      <c r="H115" s="2" t="s">
        <v>48</v>
      </c>
      <c r="I115" s="3">
        <v>46300.41666666667</v>
      </c>
      <c r="J115" s="2" t="s">
        <v>42</v>
      </c>
      <c r="K115" s="2" t="s">
        <v>120</v>
      </c>
      <c r="L115" s="4">
        <v>27.16</v>
      </c>
      <c r="M115" s="5">
        <f>IF(AND(ISNUMBER(N115),ISNUMBER(L115),L115&gt;0),ROUND(N115/L115,2),"")</f>
        <v>902.06</v>
      </c>
      <c r="N115" s="6">
        <v>24500</v>
      </c>
      <c r="O115" s="7">
        <v>35000</v>
      </c>
      <c r="P115" s="8">
        <f>IF(AND(ISNUMBER(N115),ISNUMBER(O115),O115&gt;0),N115/O115,"")</f>
        <v>0.7</v>
      </c>
      <c r="Q115" s="9" t="s">
        <v>7</v>
      </c>
      <c r="R115" s="9" t="s">
        <v>363</v>
      </c>
    </row>
    <row r="116" spans="1:18" x14ac:dyDescent="0.25">
      <c r="A116" s="2" t="s">
        <v>34</v>
      </c>
      <c r="B116" s="2" t="s">
        <v>364</v>
      </c>
      <c r="C116" s="2" t="s">
        <v>365</v>
      </c>
      <c r="D116" s="2" t="s">
        <v>366</v>
      </c>
      <c r="E116" s="2" t="s">
        <v>367</v>
      </c>
      <c r="F116" s="2" t="s">
        <v>73</v>
      </c>
      <c r="G116" s="2" t="s">
        <v>119</v>
      </c>
      <c r="H116" s="2" t="s">
        <v>48</v>
      </c>
      <c r="I116" s="3">
        <v>46303.41666666667</v>
      </c>
      <c r="J116" s="2" t="s">
        <v>42</v>
      </c>
      <c r="K116" s="2" t="s">
        <v>368</v>
      </c>
      <c r="L116" s="10" t="s">
        <v>369</v>
      </c>
      <c r="M116" s="5" t="str">
        <f>IF(AND(ISNUMBER(N116),ISNUMBER(L116),L116&gt;0),ROUND(N116/L116,2),"")</f>
        <v/>
      </c>
      <c r="N116" s="6">
        <v>47523</v>
      </c>
      <c r="O116" s="7">
        <v>67890</v>
      </c>
      <c r="P116" s="8">
        <f>IF(AND(ISNUMBER(N116),ISNUMBER(O116),O116&gt;0),N116/O116,"")</f>
        <v>0.7</v>
      </c>
      <c r="Q116" s="2" t="s">
        <v>370</v>
      </c>
      <c r="R116" s="9" t="s">
        <v>371</v>
      </c>
    </row>
    <row r="117" spans="1:18" x14ac:dyDescent="0.25">
      <c r="A117" s="2" t="s">
        <v>34</v>
      </c>
      <c r="B117" s="2" t="s">
        <v>364</v>
      </c>
      <c r="C117" s="2" t="s">
        <v>365</v>
      </c>
      <c r="D117" s="2" t="s">
        <v>372</v>
      </c>
      <c r="E117" s="2" t="s">
        <v>367</v>
      </c>
      <c r="F117" s="2" t="s">
        <v>73</v>
      </c>
      <c r="G117" s="2" t="s">
        <v>119</v>
      </c>
      <c r="H117" s="2" t="s">
        <v>48</v>
      </c>
      <c r="I117" s="3">
        <v>46303.41666666667</v>
      </c>
      <c r="J117" s="2" t="s">
        <v>42</v>
      </c>
      <c r="K117" s="2" t="s">
        <v>368</v>
      </c>
      <c r="L117" s="10" t="s">
        <v>369</v>
      </c>
      <c r="M117" s="5" t="str">
        <f>IF(AND(ISNUMBER(N117),ISNUMBER(L117),L117&gt;0),ROUND(N117/L117,2),"")</f>
        <v/>
      </c>
      <c r="N117" s="6">
        <v>47523</v>
      </c>
      <c r="O117" s="7">
        <v>67890</v>
      </c>
      <c r="P117" s="8">
        <f>IF(AND(ISNUMBER(N117),ISNUMBER(O117),O117&gt;0),N117/O117,"")</f>
        <v>0.7</v>
      </c>
      <c r="Q117" s="2" t="s">
        <v>370</v>
      </c>
      <c r="R117" s="9" t="s">
        <v>373</v>
      </c>
    </row>
    <row r="118" spans="1:18" x14ac:dyDescent="0.25">
      <c r="A118" s="2" t="s">
        <v>34</v>
      </c>
      <c r="B118" s="2" t="s">
        <v>364</v>
      </c>
      <c r="C118" s="2" t="s">
        <v>365</v>
      </c>
      <c r="D118" s="2" t="s">
        <v>374</v>
      </c>
      <c r="E118" s="2" t="s">
        <v>367</v>
      </c>
      <c r="F118" s="2" t="s">
        <v>73</v>
      </c>
      <c r="G118" s="2" t="s">
        <v>119</v>
      </c>
      <c r="H118" s="2" t="s">
        <v>48</v>
      </c>
      <c r="I118" s="3">
        <v>46303.41666666667</v>
      </c>
      <c r="J118" s="2" t="s">
        <v>42</v>
      </c>
      <c r="K118" s="2" t="s">
        <v>368</v>
      </c>
      <c r="L118" s="10" t="s">
        <v>369</v>
      </c>
      <c r="M118" s="5" t="str">
        <f>IF(AND(ISNUMBER(N118),ISNUMBER(L118),L118&gt;0),ROUND(N118/L118,2),"")</f>
        <v/>
      </c>
      <c r="N118" s="6">
        <v>48949</v>
      </c>
      <c r="O118" s="7">
        <v>69927</v>
      </c>
      <c r="P118" s="8">
        <f>IF(AND(ISNUMBER(N118),ISNUMBER(O118),O118&gt;0),N118/O118,"")</f>
        <v>0.7000014300627797</v>
      </c>
      <c r="Q118" s="2" t="s">
        <v>370</v>
      </c>
      <c r="R118" s="9" t="s">
        <v>375</v>
      </c>
    </row>
    <row r="119" spans="1:18" x14ac:dyDescent="0.25">
      <c r="A119" s="2" t="s">
        <v>34</v>
      </c>
      <c r="B119" s="2" t="s">
        <v>364</v>
      </c>
      <c r="C119" s="2" t="s">
        <v>365</v>
      </c>
      <c r="D119" s="2" t="s">
        <v>376</v>
      </c>
      <c r="E119" s="2" t="s">
        <v>367</v>
      </c>
      <c r="F119" s="2" t="s">
        <v>73</v>
      </c>
      <c r="G119" s="2" t="s">
        <v>119</v>
      </c>
      <c r="H119" s="2" t="s">
        <v>48</v>
      </c>
      <c r="I119" s="3">
        <v>46303.41666666667</v>
      </c>
      <c r="J119" s="2" t="s">
        <v>42</v>
      </c>
      <c r="K119" s="2" t="s">
        <v>368</v>
      </c>
      <c r="L119" s="10" t="s">
        <v>369</v>
      </c>
      <c r="M119" s="5" t="str">
        <f>IF(AND(ISNUMBER(N119),ISNUMBER(L119),L119&gt;0),ROUND(N119/L119,2),"")</f>
        <v/>
      </c>
      <c r="N119" s="6">
        <v>48949</v>
      </c>
      <c r="O119" s="7">
        <v>69927</v>
      </c>
      <c r="P119" s="8">
        <f>IF(AND(ISNUMBER(N119),ISNUMBER(O119),O119&gt;0),N119/O119,"")</f>
        <v>0.7000014300627797</v>
      </c>
      <c r="Q119" s="2" t="s">
        <v>370</v>
      </c>
      <c r="R119" s="9" t="s">
        <v>377</v>
      </c>
    </row>
    <row r="120" spans="1:18" x14ac:dyDescent="0.25">
      <c r="A120" s="2" t="s">
        <v>34</v>
      </c>
      <c r="B120" s="2" t="s">
        <v>364</v>
      </c>
      <c r="C120" s="2" t="s">
        <v>365</v>
      </c>
      <c r="D120" s="2" t="s">
        <v>378</v>
      </c>
      <c r="E120" s="2" t="s">
        <v>367</v>
      </c>
      <c r="F120" s="2" t="s">
        <v>73</v>
      </c>
      <c r="G120" s="2" t="s">
        <v>119</v>
      </c>
      <c r="H120" s="2" t="s">
        <v>48</v>
      </c>
      <c r="I120" s="3">
        <v>46303.41666666667</v>
      </c>
      <c r="J120" s="2" t="s">
        <v>42</v>
      </c>
      <c r="K120" s="2" t="s">
        <v>368</v>
      </c>
      <c r="L120" s="10" t="s">
        <v>369</v>
      </c>
      <c r="M120" s="5" t="str">
        <f>IF(AND(ISNUMBER(N120),ISNUMBER(L120),L120&gt;0),ROUND(N120/L120,2),"")</f>
        <v/>
      </c>
      <c r="N120" s="6">
        <v>48949</v>
      </c>
      <c r="O120" s="7">
        <v>69927</v>
      </c>
      <c r="P120" s="8">
        <f>IF(AND(ISNUMBER(N120),ISNUMBER(O120),O120&gt;0),N120/O120,"")</f>
        <v>0.7000014300627797</v>
      </c>
      <c r="Q120" s="2" t="s">
        <v>370</v>
      </c>
      <c r="R120" s="9" t="s">
        <v>379</v>
      </c>
    </row>
    <row r="121" spans="1:18" x14ac:dyDescent="0.25">
      <c r="A121" s="2" t="s">
        <v>34</v>
      </c>
      <c r="B121" s="2" t="s">
        <v>364</v>
      </c>
      <c r="C121" s="2" t="s">
        <v>365</v>
      </c>
      <c r="D121" s="2" t="s">
        <v>380</v>
      </c>
      <c r="E121" s="2" t="s">
        <v>367</v>
      </c>
      <c r="F121" s="2" t="s">
        <v>73</v>
      </c>
      <c r="G121" s="2" t="s">
        <v>119</v>
      </c>
      <c r="H121" s="2" t="s">
        <v>48</v>
      </c>
      <c r="I121" s="3">
        <v>46303.41666666667</v>
      </c>
      <c r="J121" s="2" t="s">
        <v>42</v>
      </c>
      <c r="K121" s="2" t="s">
        <v>368</v>
      </c>
      <c r="L121" s="10" t="s">
        <v>369</v>
      </c>
      <c r="M121" s="5" t="str">
        <f>IF(AND(ISNUMBER(N121),ISNUMBER(L121),L121&gt;0),ROUND(N121/L121,2),"")</f>
        <v/>
      </c>
      <c r="N121" s="6">
        <v>47523</v>
      </c>
      <c r="O121" s="7">
        <v>67890</v>
      </c>
      <c r="P121" s="8">
        <f>IF(AND(ISNUMBER(N121),ISNUMBER(O121),O121&gt;0),N121/O121,"")</f>
        <v>0.7</v>
      </c>
      <c r="Q121" s="2" t="s">
        <v>370</v>
      </c>
      <c r="R121" s="9" t="s">
        <v>381</v>
      </c>
    </row>
    <row r="122" spans="1:18" x14ac:dyDescent="0.25">
      <c r="A122" s="2" t="s">
        <v>34</v>
      </c>
      <c r="B122" s="2" t="s">
        <v>364</v>
      </c>
      <c r="C122" s="2" t="s">
        <v>365</v>
      </c>
      <c r="D122" s="2" t="s">
        <v>382</v>
      </c>
      <c r="E122" s="2" t="s">
        <v>367</v>
      </c>
      <c r="F122" s="2" t="s">
        <v>73</v>
      </c>
      <c r="G122" s="2" t="s">
        <v>119</v>
      </c>
      <c r="H122" s="2" t="s">
        <v>48</v>
      </c>
      <c r="I122" s="3">
        <v>46303.41666666667</v>
      </c>
      <c r="J122" s="2" t="s">
        <v>42</v>
      </c>
      <c r="K122" s="2" t="s">
        <v>368</v>
      </c>
      <c r="L122" s="10" t="s">
        <v>369</v>
      </c>
      <c r="M122" s="5" t="str">
        <f>IF(AND(ISNUMBER(N122),ISNUMBER(L122),L122&gt;0),ROUND(N122/L122,2),"")</f>
        <v/>
      </c>
      <c r="N122" s="6">
        <v>48949</v>
      </c>
      <c r="O122" s="7">
        <v>69927</v>
      </c>
      <c r="P122" s="8">
        <f>IF(AND(ISNUMBER(N122),ISNUMBER(O122),O122&gt;0),N122/O122,"")</f>
        <v>0.7000014300627797</v>
      </c>
      <c r="Q122" s="2" t="s">
        <v>370</v>
      </c>
      <c r="R122" s="9" t="s">
        <v>383</v>
      </c>
    </row>
    <row r="123" spans="1:18" x14ac:dyDescent="0.25">
      <c r="A123" s="2" t="s">
        <v>34</v>
      </c>
      <c r="B123" s="2" t="s">
        <v>364</v>
      </c>
      <c r="C123" s="2" t="s">
        <v>365</v>
      </c>
      <c r="D123" s="2" t="s">
        <v>384</v>
      </c>
      <c r="E123" s="2" t="s">
        <v>367</v>
      </c>
      <c r="F123" s="2" t="s">
        <v>73</v>
      </c>
      <c r="G123" s="2" t="s">
        <v>119</v>
      </c>
      <c r="H123" s="2" t="s">
        <v>48</v>
      </c>
      <c r="I123" s="3">
        <v>46303.41666666667</v>
      </c>
      <c r="J123" s="2" t="s">
        <v>42</v>
      </c>
      <c r="K123" s="2" t="s">
        <v>368</v>
      </c>
      <c r="L123" s="10" t="s">
        <v>369</v>
      </c>
      <c r="M123" s="5" t="str">
        <f>IF(AND(ISNUMBER(N123),ISNUMBER(L123),L123&gt;0),ROUND(N123/L123,2),"")</f>
        <v/>
      </c>
      <c r="N123" s="6">
        <v>47523</v>
      </c>
      <c r="O123" s="7">
        <v>67890</v>
      </c>
      <c r="P123" s="8">
        <f>IF(AND(ISNUMBER(N123),ISNUMBER(O123),O123&gt;0),N123/O123,"")</f>
        <v>0.7</v>
      </c>
      <c r="Q123" s="2" t="s">
        <v>370</v>
      </c>
      <c r="R123" s="9" t="s">
        <v>385</v>
      </c>
    </row>
    <row r="124" spans="1:18" x14ac:dyDescent="0.25">
      <c r="A124" s="2" t="s">
        <v>34</v>
      </c>
      <c r="B124" s="2" t="s">
        <v>364</v>
      </c>
      <c r="C124" s="2" t="s">
        <v>365</v>
      </c>
      <c r="D124" s="2" t="s">
        <v>386</v>
      </c>
      <c r="E124" s="2" t="s">
        <v>367</v>
      </c>
      <c r="F124" s="2" t="s">
        <v>73</v>
      </c>
      <c r="G124" s="2" t="s">
        <v>119</v>
      </c>
      <c r="H124" s="2" t="s">
        <v>48</v>
      </c>
      <c r="I124" s="3">
        <v>46303.41666666667</v>
      </c>
      <c r="J124" s="2" t="s">
        <v>42</v>
      </c>
      <c r="K124" s="2" t="s">
        <v>368</v>
      </c>
      <c r="L124" s="10" t="s">
        <v>369</v>
      </c>
      <c r="M124" s="5" t="str">
        <f>IF(AND(ISNUMBER(N124),ISNUMBER(L124),L124&gt;0),ROUND(N124/L124,2),"")</f>
        <v/>
      </c>
      <c r="N124" s="6">
        <v>47523</v>
      </c>
      <c r="O124" s="7">
        <v>67890</v>
      </c>
      <c r="P124" s="8">
        <f>IF(AND(ISNUMBER(N124),ISNUMBER(O124),O124&gt;0),N124/O124,"")</f>
        <v>0.7</v>
      </c>
      <c r="Q124" s="2" t="s">
        <v>370</v>
      </c>
      <c r="R124" s="9" t="s">
        <v>387</v>
      </c>
    </row>
    <row r="125" spans="1:18" x14ac:dyDescent="0.25">
      <c r="A125" s="2" t="s">
        <v>34</v>
      </c>
      <c r="B125" s="2" t="s">
        <v>364</v>
      </c>
      <c r="C125" s="2" t="s">
        <v>388</v>
      </c>
      <c r="D125" s="2" t="s">
        <v>389</v>
      </c>
      <c r="E125" s="2" t="s">
        <v>390</v>
      </c>
      <c r="F125" s="2" t="s">
        <v>39</v>
      </c>
      <c r="G125" s="2" t="s">
        <v>119</v>
      </c>
      <c r="H125" s="2" t="s">
        <v>48</v>
      </c>
      <c r="I125" s="3">
        <v>46300.41666666667</v>
      </c>
      <c r="J125" s="2" t="s">
        <v>42</v>
      </c>
      <c r="K125" s="2" t="s">
        <v>391</v>
      </c>
      <c r="L125" s="4">
        <v>90</v>
      </c>
      <c r="M125" s="5">
        <f>IF(AND(ISNUMBER(N125),ISNUMBER(L125),L125&gt;0),ROUND(N125/L125,2),"")</f>
        <v>4400</v>
      </c>
      <c r="N125" s="6">
        <v>396000</v>
      </c>
      <c r="O125" s="7">
        <v>495000</v>
      </c>
      <c r="P125" s="8">
        <f>IF(AND(ISNUMBER(N125),ISNUMBER(O125),O125&gt;0),N125/O125,"")</f>
        <v>0.8</v>
      </c>
      <c r="Q125" s="9" t="s">
        <v>7</v>
      </c>
      <c r="R125" s="9" t="s">
        <v>392</v>
      </c>
    </row>
    <row r="126" spans="1:18" x14ac:dyDescent="0.25">
      <c r="A126" s="2" t="s">
        <v>34</v>
      </c>
      <c r="B126" s="2" t="s">
        <v>364</v>
      </c>
      <c r="C126" s="2" t="s">
        <v>365</v>
      </c>
      <c r="D126" s="2" t="s">
        <v>393</v>
      </c>
      <c r="E126" s="2" t="s">
        <v>367</v>
      </c>
      <c r="F126" s="2" t="s">
        <v>73</v>
      </c>
      <c r="G126" s="2" t="s">
        <v>119</v>
      </c>
      <c r="H126" s="2" t="s">
        <v>48</v>
      </c>
      <c r="I126" s="3">
        <v>46303.41666666667</v>
      </c>
      <c r="J126" s="2" t="s">
        <v>42</v>
      </c>
      <c r="K126" s="2" t="s">
        <v>368</v>
      </c>
      <c r="L126" s="10" t="s">
        <v>369</v>
      </c>
      <c r="M126" s="5" t="str">
        <f>IF(AND(ISNUMBER(N126),ISNUMBER(L126),L126&gt;0),ROUND(N126/L126,2),"")</f>
        <v/>
      </c>
      <c r="N126" s="6">
        <v>48949</v>
      </c>
      <c r="O126" s="7">
        <v>69927</v>
      </c>
      <c r="P126" s="8">
        <f>IF(AND(ISNUMBER(N126),ISNUMBER(O126),O126&gt;0),N126/O126,"")</f>
        <v>0.7000014300627797</v>
      </c>
      <c r="Q126" s="2" t="s">
        <v>370</v>
      </c>
      <c r="R126" s="9" t="s">
        <v>394</v>
      </c>
    </row>
    <row r="127" spans="1:18" x14ac:dyDescent="0.25">
      <c r="A127" s="2" t="s">
        <v>34</v>
      </c>
      <c r="B127" s="2" t="s">
        <v>364</v>
      </c>
      <c r="C127" s="2" t="s">
        <v>365</v>
      </c>
      <c r="D127" s="2" t="s">
        <v>395</v>
      </c>
      <c r="E127" s="2" t="s">
        <v>367</v>
      </c>
      <c r="F127" s="2" t="s">
        <v>73</v>
      </c>
      <c r="G127" s="2" t="s">
        <v>119</v>
      </c>
      <c r="H127" s="2" t="s">
        <v>48</v>
      </c>
      <c r="I127" s="3">
        <v>46303.41666666667</v>
      </c>
      <c r="J127" s="2" t="s">
        <v>42</v>
      </c>
      <c r="K127" s="2" t="s">
        <v>368</v>
      </c>
      <c r="L127" s="10" t="s">
        <v>369</v>
      </c>
      <c r="M127" s="5" t="str">
        <f>IF(AND(ISNUMBER(N127),ISNUMBER(L127),L127&gt;0),ROUND(N127/L127,2),"")</f>
        <v/>
      </c>
      <c r="N127" s="6">
        <v>48949</v>
      </c>
      <c r="O127" s="7">
        <v>69927</v>
      </c>
      <c r="P127" s="8">
        <f>IF(AND(ISNUMBER(N127),ISNUMBER(O127),O127&gt;0),N127/O127,"")</f>
        <v>0.7000014300627797</v>
      </c>
      <c r="Q127" s="2" t="s">
        <v>370</v>
      </c>
      <c r="R127" s="9" t="s">
        <v>396</v>
      </c>
    </row>
    <row r="128" spans="1:18" x14ac:dyDescent="0.25">
      <c r="A128" s="2" t="s">
        <v>34</v>
      </c>
      <c r="B128" s="2" t="s">
        <v>364</v>
      </c>
      <c r="C128" s="2" t="s">
        <v>365</v>
      </c>
      <c r="D128" s="2" t="s">
        <v>397</v>
      </c>
      <c r="E128" s="2" t="s">
        <v>367</v>
      </c>
      <c r="F128" s="2" t="s">
        <v>73</v>
      </c>
      <c r="G128" s="2" t="s">
        <v>119</v>
      </c>
      <c r="H128" s="2" t="s">
        <v>48</v>
      </c>
      <c r="I128" s="3">
        <v>46303.41666666667</v>
      </c>
      <c r="J128" s="2" t="s">
        <v>42</v>
      </c>
      <c r="K128" s="2" t="s">
        <v>368</v>
      </c>
      <c r="L128" s="10" t="s">
        <v>369</v>
      </c>
      <c r="M128" s="5" t="str">
        <f>IF(AND(ISNUMBER(N128),ISNUMBER(L128),L128&gt;0),ROUND(N128/L128,2),"")</f>
        <v/>
      </c>
      <c r="N128" s="6">
        <v>47523</v>
      </c>
      <c r="O128" s="7">
        <v>67890</v>
      </c>
      <c r="P128" s="8">
        <f>IF(AND(ISNUMBER(N128),ISNUMBER(O128),O128&gt;0),N128/O128,"")</f>
        <v>0.7</v>
      </c>
      <c r="Q128" s="2" t="s">
        <v>370</v>
      </c>
      <c r="R128" s="9" t="s">
        <v>398</v>
      </c>
    </row>
    <row r="129" spans="1:18" x14ac:dyDescent="0.25">
      <c r="A129" s="2" t="s">
        <v>34</v>
      </c>
      <c r="B129" s="2" t="s">
        <v>364</v>
      </c>
      <c r="C129" s="2" t="s">
        <v>399</v>
      </c>
      <c r="D129" s="2" t="s">
        <v>400</v>
      </c>
      <c r="E129" s="2" t="s">
        <v>401</v>
      </c>
      <c r="F129" s="2" t="s">
        <v>39</v>
      </c>
      <c r="G129" s="2" t="s">
        <v>119</v>
      </c>
      <c r="H129" s="2" t="s">
        <v>41</v>
      </c>
      <c r="I129" s="3">
        <v>46285.41666666667</v>
      </c>
      <c r="J129" s="2" t="s">
        <v>42</v>
      </c>
      <c r="K129" s="2" t="s">
        <v>402</v>
      </c>
      <c r="L129" s="4">
        <v>146.27</v>
      </c>
      <c r="M129" s="5">
        <f>IF(AND(ISNUMBER(N129),ISNUMBER(L129),L129&gt;0),ROUND(N129/L129,2),"")</f>
        <v>4763.79</v>
      </c>
      <c r="N129" s="6">
        <v>696800</v>
      </c>
      <c r="O129" s="7">
        <v>1243295</v>
      </c>
      <c r="P129" s="8">
        <f>IF(AND(ISNUMBER(N129),ISNUMBER(O129),O129&gt;0),N129/O129,"")</f>
        <v>0.5604462335970144</v>
      </c>
      <c r="Q129" s="9" t="s">
        <v>7</v>
      </c>
      <c r="R129" s="9" t="s">
        <v>403</v>
      </c>
    </row>
    <row r="130" spans="1:18" x14ac:dyDescent="0.25">
      <c r="A130" s="2" t="s">
        <v>34</v>
      </c>
      <c r="B130" s="2" t="s">
        <v>364</v>
      </c>
      <c r="C130" s="2" t="s">
        <v>365</v>
      </c>
      <c r="D130" s="2" t="s">
        <v>404</v>
      </c>
      <c r="E130" s="2" t="s">
        <v>367</v>
      </c>
      <c r="F130" s="2" t="s">
        <v>73</v>
      </c>
      <c r="G130" s="2" t="s">
        <v>119</v>
      </c>
      <c r="H130" s="2" t="s">
        <v>48</v>
      </c>
      <c r="I130" s="3">
        <v>46303.41666666667</v>
      </c>
      <c r="J130" s="2" t="s">
        <v>42</v>
      </c>
      <c r="K130" s="2" t="s">
        <v>368</v>
      </c>
      <c r="L130" s="10" t="s">
        <v>369</v>
      </c>
      <c r="M130" s="5" t="str">
        <f>IF(AND(ISNUMBER(N130),ISNUMBER(L130),L130&gt;0),ROUND(N130/L130,2),"")</f>
        <v/>
      </c>
      <c r="N130" s="6">
        <v>47523</v>
      </c>
      <c r="O130" s="7">
        <v>67890</v>
      </c>
      <c r="P130" s="8">
        <f>IF(AND(ISNUMBER(N130),ISNUMBER(O130),O130&gt;0),N130/O130,"")</f>
        <v>0.7</v>
      </c>
      <c r="Q130" s="2" t="s">
        <v>370</v>
      </c>
      <c r="R130" s="9" t="s">
        <v>405</v>
      </c>
    </row>
    <row r="131" spans="1:18" x14ac:dyDescent="0.25">
      <c r="A131" s="2" t="s">
        <v>34</v>
      </c>
      <c r="B131" s="2" t="s">
        <v>364</v>
      </c>
      <c r="C131" s="2" t="s">
        <v>365</v>
      </c>
      <c r="D131" s="2" t="s">
        <v>406</v>
      </c>
      <c r="E131" s="2" t="s">
        <v>367</v>
      </c>
      <c r="F131" s="2" t="s">
        <v>73</v>
      </c>
      <c r="G131" s="2" t="s">
        <v>119</v>
      </c>
      <c r="H131" s="2" t="s">
        <v>48</v>
      </c>
      <c r="I131" s="3">
        <v>46303.41666666667</v>
      </c>
      <c r="J131" s="2" t="s">
        <v>42</v>
      </c>
      <c r="K131" s="2" t="s">
        <v>368</v>
      </c>
      <c r="L131" s="10" t="s">
        <v>369</v>
      </c>
      <c r="M131" s="5" t="str">
        <f>IF(AND(ISNUMBER(N131),ISNUMBER(L131),L131&gt;0),ROUND(N131/L131,2),"")</f>
        <v/>
      </c>
      <c r="N131" s="6">
        <v>47523</v>
      </c>
      <c r="O131" s="7">
        <v>67890</v>
      </c>
      <c r="P131" s="8">
        <f>IF(AND(ISNUMBER(N131),ISNUMBER(O131),O131&gt;0),N131/O131,"")</f>
        <v>0.7</v>
      </c>
      <c r="Q131" s="2" t="s">
        <v>370</v>
      </c>
      <c r="R131" s="9" t="s">
        <v>407</v>
      </c>
    </row>
    <row r="132" spans="1:18" x14ac:dyDescent="0.25">
      <c r="A132" s="2" t="s">
        <v>34</v>
      </c>
      <c r="B132" s="2" t="s">
        <v>364</v>
      </c>
      <c r="C132" s="2" t="s">
        <v>365</v>
      </c>
      <c r="D132" s="2" t="s">
        <v>408</v>
      </c>
      <c r="E132" s="2" t="s">
        <v>367</v>
      </c>
      <c r="F132" s="2" t="s">
        <v>73</v>
      </c>
      <c r="G132" s="2" t="s">
        <v>119</v>
      </c>
      <c r="H132" s="2" t="s">
        <v>48</v>
      </c>
      <c r="I132" s="3">
        <v>46303.41666666667</v>
      </c>
      <c r="J132" s="2" t="s">
        <v>42</v>
      </c>
      <c r="K132" s="2" t="s">
        <v>368</v>
      </c>
      <c r="L132" s="10" t="s">
        <v>369</v>
      </c>
      <c r="M132" s="5" t="str">
        <f>IF(AND(ISNUMBER(N132),ISNUMBER(L132),L132&gt;0),ROUND(N132/L132,2),"")</f>
        <v/>
      </c>
      <c r="N132" s="6">
        <v>47523</v>
      </c>
      <c r="O132" s="7">
        <v>67890</v>
      </c>
      <c r="P132" s="8">
        <f>IF(AND(ISNUMBER(N132),ISNUMBER(O132),O132&gt;0),N132/O132,"")</f>
        <v>0.7</v>
      </c>
      <c r="Q132" s="2" t="s">
        <v>370</v>
      </c>
      <c r="R132" s="9" t="s">
        <v>409</v>
      </c>
    </row>
    <row r="133" spans="1:18" x14ac:dyDescent="0.25">
      <c r="A133" s="2" t="s">
        <v>34</v>
      </c>
      <c r="B133" s="2" t="s">
        <v>364</v>
      </c>
      <c r="C133" s="2" t="s">
        <v>365</v>
      </c>
      <c r="D133" s="2" t="s">
        <v>410</v>
      </c>
      <c r="E133" s="2" t="s">
        <v>367</v>
      </c>
      <c r="F133" s="2" t="s">
        <v>73</v>
      </c>
      <c r="G133" s="2" t="s">
        <v>119</v>
      </c>
      <c r="H133" s="2" t="s">
        <v>48</v>
      </c>
      <c r="I133" s="3">
        <v>46303.41666666667</v>
      </c>
      <c r="J133" s="2" t="s">
        <v>42</v>
      </c>
      <c r="K133" s="2" t="s">
        <v>368</v>
      </c>
      <c r="L133" s="10" t="s">
        <v>369</v>
      </c>
      <c r="M133" s="5" t="str">
        <f>IF(AND(ISNUMBER(N133),ISNUMBER(L133),L133&gt;0),ROUND(N133/L133,2),"")</f>
        <v/>
      </c>
      <c r="N133" s="6">
        <v>47523</v>
      </c>
      <c r="O133" s="7">
        <v>67890</v>
      </c>
      <c r="P133" s="8">
        <f>IF(AND(ISNUMBER(N133),ISNUMBER(O133),O133&gt;0),N133/O133,"")</f>
        <v>0.7</v>
      </c>
      <c r="Q133" s="2" t="s">
        <v>370</v>
      </c>
      <c r="R133" s="9" t="s">
        <v>411</v>
      </c>
    </row>
    <row r="134" spans="1:18" x14ac:dyDescent="0.25">
      <c r="A134" s="2" t="s">
        <v>34</v>
      </c>
      <c r="B134" s="2" t="s">
        <v>364</v>
      </c>
      <c r="C134" s="2" t="s">
        <v>365</v>
      </c>
      <c r="D134" s="2" t="s">
        <v>412</v>
      </c>
      <c r="E134" s="2" t="s">
        <v>367</v>
      </c>
      <c r="F134" s="2" t="s">
        <v>73</v>
      </c>
      <c r="G134" s="2" t="s">
        <v>119</v>
      </c>
      <c r="H134" s="2" t="s">
        <v>48</v>
      </c>
      <c r="I134" s="3">
        <v>46303.41666666667</v>
      </c>
      <c r="J134" s="2" t="s">
        <v>42</v>
      </c>
      <c r="K134" s="2" t="s">
        <v>368</v>
      </c>
      <c r="L134" s="10" t="s">
        <v>369</v>
      </c>
      <c r="M134" s="5" t="str">
        <f>IF(AND(ISNUMBER(N134),ISNUMBER(L134),L134&gt;0),ROUND(N134/L134,2),"")</f>
        <v/>
      </c>
      <c r="N134" s="6">
        <v>47523</v>
      </c>
      <c r="O134" s="7">
        <v>67890</v>
      </c>
      <c r="P134" s="8">
        <f>IF(AND(ISNUMBER(N134),ISNUMBER(O134),O134&gt;0),N134/O134,"")</f>
        <v>0.7</v>
      </c>
      <c r="Q134" s="2" t="s">
        <v>370</v>
      </c>
      <c r="R134" s="9" t="s">
        <v>413</v>
      </c>
    </row>
    <row r="135" spans="1:18" x14ac:dyDescent="0.25">
      <c r="A135" s="2" t="s">
        <v>34</v>
      </c>
      <c r="B135" s="2" t="s">
        <v>364</v>
      </c>
      <c r="C135" s="2" t="s">
        <v>365</v>
      </c>
      <c r="D135" s="2" t="s">
        <v>414</v>
      </c>
      <c r="E135" s="2" t="s">
        <v>367</v>
      </c>
      <c r="F135" s="2" t="s">
        <v>73</v>
      </c>
      <c r="G135" s="2" t="s">
        <v>119</v>
      </c>
      <c r="H135" s="2" t="s">
        <v>48</v>
      </c>
      <c r="I135" s="3">
        <v>46303.41666666667</v>
      </c>
      <c r="J135" s="2" t="s">
        <v>42</v>
      </c>
      <c r="K135" s="2" t="s">
        <v>368</v>
      </c>
      <c r="L135" s="10" t="s">
        <v>369</v>
      </c>
      <c r="M135" s="5" t="str">
        <f>IF(AND(ISNUMBER(N135),ISNUMBER(L135),L135&gt;0),ROUND(N135/L135,2),"")</f>
        <v/>
      </c>
      <c r="N135" s="6">
        <v>47523</v>
      </c>
      <c r="O135" s="7">
        <v>67890</v>
      </c>
      <c r="P135" s="8">
        <f>IF(AND(ISNUMBER(N135),ISNUMBER(O135),O135&gt;0),N135/O135,"")</f>
        <v>0.7</v>
      </c>
      <c r="Q135" s="2" t="s">
        <v>370</v>
      </c>
      <c r="R135" s="9" t="s">
        <v>415</v>
      </c>
    </row>
    <row r="136" spans="1:18" x14ac:dyDescent="0.25">
      <c r="A136" s="2" t="s">
        <v>34</v>
      </c>
      <c r="B136" s="2" t="s">
        <v>364</v>
      </c>
      <c r="C136" s="2" t="s">
        <v>365</v>
      </c>
      <c r="D136" s="2" t="s">
        <v>416</v>
      </c>
      <c r="E136" s="2" t="s">
        <v>367</v>
      </c>
      <c r="F136" s="2" t="s">
        <v>73</v>
      </c>
      <c r="G136" s="2" t="s">
        <v>119</v>
      </c>
      <c r="H136" s="2" t="s">
        <v>48</v>
      </c>
      <c r="I136" s="3">
        <v>46303.41666666667</v>
      </c>
      <c r="J136" s="2" t="s">
        <v>42</v>
      </c>
      <c r="K136" s="2" t="s">
        <v>368</v>
      </c>
      <c r="L136" s="10" t="s">
        <v>369</v>
      </c>
      <c r="M136" s="5" t="str">
        <f>IF(AND(ISNUMBER(N136),ISNUMBER(L136),L136&gt;0),ROUND(N136/L136,2),"")</f>
        <v/>
      </c>
      <c r="N136" s="6">
        <v>47523</v>
      </c>
      <c r="O136" s="7">
        <v>67890</v>
      </c>
      <c r="P136" s="8">
        <f>IF(AND(ISNUMBER(N136),ISNUMBER(O136),O136&gt;0),N136/O136,"")</f>
        <v>0.7</v>
      </c>
      <c r="Q136" s="2" t="s">
        <v>370</v>
      </c>
      <c r="R136" s="9" t="s">
        <v>417</v>
      </c>
    </row>
    <row r="137" spans="1:18" x14ac:dyDescent="0.25">
      <c r="A137" s="2" t="s">
        <v>34</v>
      </c>
      <c r="B137" s="2" t="s">
        <v>364</v>
      </c>
      <c r="C137" s="2" t="s">
        <v>365</v>
      </c>
      <c r="D137" s="2" t="s">
        <v>418</v>
      </c>
      <c r="E137" s="2" t="s">
        <v>367</v>
      </c>
      <c r="F137" s="2" t="s">
        <v>73</v>
      </c>
      <c r="G137" s="2" t="s">
        <v>119</v>
      </c>
      <c r="H137" s="2" t="s">
        <v>48</v>
      </c>
      <c r="I137" s="3">
        <v>46303.41666666667</v>
      </c>
      <c r="J137" s="2" t="s">
        <v>42</v>
      </c>
      <c r="K137" s="2" t="s">
        <v>368</v>
      </c>
      <c r="L137" s="10" t="s">
        <v>369</v>
      </c>
      <c r="M137" s="5" t="str">
        <f>IF(AND(ISNUMBER(N137),ISNUMBER(L137),L137&gt;0),ROUND(N137/L137,2),"")</f>
        <v/>
      </c>
      <c r="N137" s="6">
        <v>47523</v>
      </c>
      <c r="O137" s="7">
        <v>67890</v>
      </c>
      <c r="P137" s="8">
        <f>IF(AND(ISNUMBER(N137),ISNUMBER(O137),O137&gt;0),N137/O137,"")</f>
        <v>0.7</v>
      </c>
      <c r="Q137" s="2" t="s">
        <v>370</v>
      </c>
      <c r="R137" s="9" t="s">
        <v>419</v>
      </c>
    </row>
    <row r="138" spans="1:18" x14ac:dyDescent="0.25">
      <c r="A138" s="2" t="s">
        <v>34</v>
      </c>
      <c r="B138" s="2" t="s">
        <v>364</v>
      </c>
      <c r="C138" s="2" t="s">
        <v>365</v>
      </c>
      <c r="D138" s="2" t="s">
        <v>420</v>
      </c>
      <c r="E138" s="2" t="s">
        <v>367</v>
      </c>
      <c r="F138" s="2" t="s">
        <v>73</v>
      </c>
      <c r="G138" s="2" t="s">
        <v>119</v>
      </c>
      <c r="H138" s="2" t="s">
        <v>48</v>
      </c>
      <c r="I138" s="3">
        <v>46303.41666666667</v>
      </c>
      <c r="J138" s="2" t="s">
        <v>42</v>
      </c>
      <c r="K138" s="2" t="s">
        <v>368</v>
      </c>
      <c r="L138" s="10" t="s">
        <v>369</v>
      </c>
      <c r="M138" s="5" t="str">
        <f>IF(AND(ISNUMBER(N138),ISNUMBER(L138),L138&gt;0),ROUND(N138/L138,2),"")</f>
        <v/>
      </c>
      <c r="N138" s="6">
        <v>47523</v>
      </c>
      <c r="O138" s="7">
        <v>67890</v>
      </c>
      <c r="P138" s="8">
        <f>IF(AND(ISNUMBER(N138),ISNUMBER(O138),O138&gt;0),N138/O138,"")</f>
        <v>0.7</v>
      </c>
      <c r="Q138" s="2" t="s">
        <v>370</v>
      </c>
      <c r="R138" s="9" t="s">
        <v>421</v>
      </c>
    </row>
    <row r="139" spans="1:18" x14ac:dyDescent="0.25">
      <c r="A139" s="2" t="s">
        <v>34</v>
      </c>
      <c r="B139" s="2" t="s">
        <v>364</v>
      </c>
      <c r="C139" s="2" t="s">
        <v>365</v>
      </c>
      <c r="D139" s="2" t="s">
        <v>422</v>
      </c>
      <c r="E139" s="2" t="s">
        <v>367</v>
      </c>
      <c r="F139" s="2" t="s">
        <v>73</v>
      </c>
      <c r="G139" s="2" t="s">
        <v>119</v>
      </c>
      <c r="H139" s="2" t="s">
        <v>48</v>
      </c>
      <c r="I139" s="3">
        <v>46303.41666666667</v>
      </c>
      <c r="J139" s="2" t="s">
        <v>42</v>
      </c>
      <c r="K139" s="2" t="s">
        <v>368</v>
      </c>
      <c r="L139" s="10" t="s">
        <v>369</v>
      </c>
      <c r="M139" s="5" t="str">
        <f>IF(AND(ISNUMBER(N139),ISNUMBER(L139),L139&gt;0),ROUND(N139/L139,2),"")</f>
        <v/>
      </c>
      <c r="N139" s="6">
        <v>47523</v>
      </c>
      <c r="O139" s="7">
        <v>67890</v>
      </c>
      <c r="P139" s="8">
        <f>IF(AND(ISNUMBER(N139),ISNUMBER(O139),O139&gt;0),N139/O139,"")</f>
        <v>0.7</v>
      </c>
      <c r="Q139" s="2" t="s">
        <v>370</v>
      </c>
      <c r="R139" s="9" t="s">
        <v>423</v>
      </c>
    </row>
    <row r="140" spans="1:18" x14ac:dyDescent="0.25">
      <c r="A140" s="2" t="s">
        <v>34</v>
      </c>
      <c r="B140" s="2" t="s">
        <v>364</v>
      </c>
      <c r="C140" s="2" t="s">
        <v>365</v>
      </c>
      <c r="D140" s="2" t="s">
        <v>424</v>
      </c>
      <c r="E140" s="2" t="s">
        <v>367</v>
      </c>
      <c r="F140" s="2" t="s">
        <v>73</v>
      </c>
      <c r="G140" s="2" t="s">
        <v>119</v>
      </c>
      <c r="H140" s="2" t="s">
        <v>48</v>
      </c>
      <c r="I140" s="3">
        <v>46303.41666666667</v>
      </c>
      <c r="J140" s="2" t="s">
        <v>42</v>
      </c>
      <c r="K140" s="2" t="s">
        <v>368</v>
      </c>
      <c r="L140" s="10" t="s">
        <v>369</v>
      </c>
      <c r="M140" s="5" t="str">
        <f>IF(AND(ISNUMBER(N140),ISNUMBER(L140),L140&gt;0),ROUND(N140/L140,2),"")</f>
        <v/>
      </c>
      <c r="N140" s="6">
        <v>47523</v>
      </c>
      <c r="O140" s="7">
        <v>67890</v>
      </c>
      <c r="P140" s="8">
        <f>IF(AND(ISNUMBER(N140),ISNUMBER(O140),O140&gt;0),N140/O140,"")</f>
        <v>0.7</v>
      </c>
      <c r="Q140" s="2" t="s">
        <v>370</v>
      </c>
      <c r="R140" s="9" t="s">
        <v>425</v>
      </c>
    </row>
    <row r="141" spans="1:18" x14ac:dyDescent="0.25">
      <c r="A141" s="2" t="s">
        <v>34</v>
      </c>
      <c r="B141" s="2" t="s">
        <v>364</v>
      </c>
      <c r="C141" s="2" t="s">
        <v>365</v>
      </c>
      <c r="D141" s="2" t="s">
        <v>426</v>
      </c>
      <c r="E141" s="2" t="s">
        <v>367</v>
      </c>
      <c r="F141" s="2" t="s">
        <v>73</v>
      </c>
      <c r="G141" s="2" t="s">
        <v>119</v>
      </c>
      <c r="H141" s="2" t="s">
        <v>48</v>
      </c>
      <c r="I141" s="3">
        <v>46303.41666666667</v>
      </c>
      <c r="J141" s="2" t="s">
        <v>42</v>
      </c>
      <c r="K141" s="2" t="s">
        <v>368</v>
      </c>
      <c r="L141" s="10" t="s">
        <v>369</v>
      </c>
      <c r="M141" s="5" t="str">
        <f>IF(AND(ISNUMBER(N141),ISNUMBER(L141),L141&gt;0),ROUND(N141/L141,2),"")</f>
        <v/>
      </c>
      <c r="N141" s="6">
        <v>47523</v>
      </c>
      <c r="O141" s="7">
        <v>67890</v>
      </c>
      <c r="P141" s="8">
        <f>IF(AND(ISNUMBER(N141),ISNUMBER(O141),O141&gt;0),N141/O141,"")</f>
        <v>0.7</v>
      </c>
      <c r="Q141" s="2" t="s">
        <v>370</v>
      </c>
      <c r="R141" s="9" t="s">
        <v>427</v>
      </c>
    </row>
    <row r="142" spans="1:18" x14ac:dyDescent="0.25">
      <c r="A142" s="2" t="s">
        <v>34</v>
      </c>
      <c r="B142" s="2" t="s">
        <v>364</v>
      </c>
      <c r="C142" s="2" t="s">
        <v>365</v>
      </c>
      <c r="D142" s="2" t="s">
        <v>428</v>
      </c>
      <c r="E142" s="2" t="s">
        <v>367</v>
      </c>
      <c r="F142" s="2" t="s">
        <v>73</v>
      </c>
      <c r="G142" s="2" t="s">
        <v>119</v>
      </c>
      <c r="H142" s="2" t="s">
        <v>48</v>
      </c>
      <c r="I142" s="3">
        <v>46303.41666666667</v>
      </c>
      <c r="J142" s="2" t="s">
        <v>42</v>
      </c>
      <c r="K142" s="2" t="s">
        <v>368</v>
      </c>
      <c r="L142" s="10" t="s">
        <v>369</v>
      </c>
      <c r="M142" s="5" t="str">
        <f>IF(AND(ISNUMBER(N142),ISNUMBER(L142),L142&gt;0),ROUND(N142/L142,2),"")</f>
        <v/>
      </c>
      <c r="N142" s="6">
        <v>47523</v>
      </c>
      <c r="O142" s="7">
        <v>67890</v>
      </c>
      <c r="P142" s="8">
        <f>IF(AND(ISNUMBER(N142),ISNUMBER(O142),O142&gt;0),N142/O142,"")</f>
        <v>0.7</v>
      </c>
      <c r="Q142" s="2" t="s">
        <v>370</v>
      </c>
      <c r="R142" s="9" t="s">
        <v>429</v>
      </c>
    </row>
    <row r="143" spans="1:18" x14ac:dyDescent="0.25">
      <c r="A143" s="2" t="s">
        <v>34</v>
      </c>
      <c r="B143" s="2" t="s">
        <v>364</v>
      </c>
      <c r="C143" s="2" t="s">
        <v>365</v>
      </c>
      <c r="D143" s="2" t="s">
        <v>430</v>
      </c>
      <c r="E143" s="2" t="s">
        <v>367</v>
      </c>
      <c r="F143" s="2" t="s">
        <v>73</v>
      </c>
      <c r="G143" s="2" t="s">
        <v>119</v>
      </c>
      <c r="H143" s="2" t="s">
        <v>48</v>
      </c>
      <c r="I143" s="3">
        <v>46303.41666666667</v>
      </c>
      <c r="J143" s="2" t="s">
        <v>42</v>
      </c>
      <c r="K143" s="2" t="s">
        <v>368</v>
      </c>
      <c r="L143" s="10" t="s">
        <v>369</v>
      </c>
      <c r="M143" s="5" t="str">
        <f>IF(AND(ISNUMBER(N143),ISNUMBER(L143),L143&gt;0),ROUND(N143/L143,2),"")</f>
        <v/>
      </c>
      <c r="N143" s="6">
        <v>47523</v>
      </c>
      <c r="O143" s="7">
        <v>67890</v>
      </c>
      <c r="P143" s="8">
        <f>IF(AND(ISNUMBER(N143),ISNUMBER(O143),O143&gt;0),N143/O143,"")</f>
        <v>0.7</v>
      </c>
      <c r="Q143" s="2" t="s">
        <v>370</v>
      </c>
      <c r="R143" s="9" t="s">
        <v>431</v>
      </c>
    </row>
    <row r="144" spans="1:18" x14ac:dyDescent="0.25">
      <c r="A144" s="2" t="s">
        <v>34</v>
      </c>
      <c r="B144" s="2" t="s">
        <v>364</v>
      </c>
      <c r="C144" s="2" t="s">
        <v>365</v>
      </c>
      <c r="D144" s="2" t="s">
        <v>432</v>
      </c>
      <c r="E144" s="2" t="s">
        <v>367</v>
      </c>
      <c r="F144" s="2" t="s">
        <v>73</v>
      </c>
      <c r="G144" s="2" t="s">
        <v>119</v>
      </c>
      <c r="H144" s="2" t="s">
        <v>48</v>
      </c>
      <c r="I144" s="3">
        <v>46303.41666666667</v>
      </c>
      <c r="J144" s="2" t="s">
        <v>42</v>
      </c>
      <c r="K144" s="2" t="s">
        <v>368</v>
      </c>
      <c r="L144" s="10" t="s">
        <v>369</v>
      </c>
      <c r="M144" s="5" t="str">
        <f>IF(AND(ISNUMBER(N144),ISNUMBER(L144),L144&gt;0),ROUND(N144/L144,2),"")</f>
        <v/>
      </c>
      <c r="N144" s="6">
        <v>47523</v>
      </c>
      <c r="O144" s="7">
        <v>67890</v>
      </c>
      <c r="P144" s="8">
        <f>IF(AND(ISNUMBER(N144),ISNUMBER(O144),O144&gt;0),N144/O144,"")</f>
        <v>0.7</v>
      </c>
      <c r="Q144" s="2" t="s">
        <v>370</v>
      </c>
      <c r="R144" s="9" t="s">
        <v>433</v>
      </c>
    </row>
    <row r="145" spans="1:18" x14ac:dyDescent="0.25">
      <c r="A145" s="2" t="s">
        <v>34</v>
      </c>
      <c r="B145" s="2" t="s">
        <v>364</v>
      </c>
      <c r="C145" s="2" t="s">
        <v>365</v>
      </c>
      <c r="D145" s="2" t="s">
        <v>434</v>
      </c>
      <c r="E145" s="2" t="s">
        <v>367</v>
      </c>
      <c r="F145" s="2" t="s">
        <v>73</v>
      </c>
      <c r="G145" s="2" t="s">
        <v>119</v>
      </c>
      <c r="H145" s="2" t="s">
        <v>48</v>
      </c>
      <c r="I145" s="3">
        <v>46303.41666666667</v>
      </c>
      <c r="J145" s="2" t="s">
        <v>42</v>
      </c>
      <c r="K145" s="2" t="s">
        <v>368</v>
      </c>
      <c r="L145" s="10" t="s">
        <v>369</v>
      </c>
      <c r="M145" s="5" t="str">
        <f>IF(AND(ISNUMBER(N145),ISNUMBER(L145),L145&gt;0),ROUND(N145/L145,2),"")</f>
        <v/>
      </c>
      <c r="N145" s="6">
        <v>47523</v>
      </c>
      <c r="O145" s="7">
        <v>67890</v>
      </c>
      <c r="P145" s="8">
        <f>IF(AND(ISNUMBER(N145),ISNUMBER(O145),O145&gt;0),N145/O145,"")</f>
        <v>0.7</v>
      </c>
      <c r="Q145" s="2" t="s">
        <v>370</v>
      </c>
      <c r="R145" s="9" t="s">
        <v>435</v>
      </c>
    </row>
    <row r="146" spans="1:18" x14ac:dyDescent="0.25">
      <c r="A146" s="2" t="s">
        <v>34</v>
      </c>
      <c r="B146" s="2" t="s">
        <v>364</v>
      </c>
      <c r="C146" s="2" t="s">
        <v>365</v>
      </c>
      <c r="D146" s="2" t="s">
        <v>436</v>
      </c>
      <c r="E146" s="2" t="s">
        <v>367</v>
      </c>
      <c r="F146" s="2" t="s">
        <v>73</v>
      </c>
      <c r="G146" s="2" t="s">
        <v>119</v>
      </c>
      <c r="H146" s="2" t="s">
        <v>48</v>
      </c>
      <c r="I146" s="3">
        <v>46303.41666666667</v>
      </c>
      <c r="J146" s="2" t="s">
        <v>42</v>
      </c>
      <c r="K146" s="2" t="s">
        <v>368</v>
      </c>
      <c r="L146" s="10" t="s">
        <v>369</v>
      </c>
      <c r="M146" s="5" t="str">
        <f>IF(AND(ISNUMBER(N146),ISNUMBER(L146),L146&gt;0),ROUND(N146/L146,2),"")</f>
        <v/>
      </c>
      <c r="N146" s="6">
        <v>47523</v>
      </c>
      <c r="O146" s="7">
        <v>67890</v>
      </c>
      <c r="P146" s="8">
        <f>IF(AND(ISNUMBER(N146),ISNUMBER(O146),O146&gt;0),N146/O146,"")</f>
        <v>0.7</v>
      </c>
      <c r="Q146" s="2" t="s">
        <v>370</v>
      </c>
      <c r="R146" s="9" t="s">
        <v>437</v>
      </c>
    </row>
    <row r="147" spans="1:18" x14ac:dyDescent="0.25">
      <c r="A147" s="2" t="s">
        <v>34</v>
      </c>
      <c r="B147" s="2" t="s">
        <v>364</v>
      </c>
      <c r="C147" s="2" t="s">
        <v>365</v>
      </c>
      <c r="D147" s="2" t="s">
        <v>438</v>
      </c>
      <c r="E147" s="2" t="s">
        <v>367</v>
      </c>
      <c r="F147" s="2" t="s">
        <v>73</v>
      </c>
      <c r="G147" s="2" t="s">
        <v>119</v>
      </c>
      <c r="H147" s="2" t="s">
        <v>48</v>
      </c>
      <c r="I147" s="3">
        <v>46303.41666666667</v>
      </c>
      <c r="J147" s="2" t="s">
        <v>42</v>
      </c>
      <c r="K147" s="2" t="s">
        <v>368</v>
      </c>
      <c r="L147" s="10" t="s">
        <v>369</v>
      </c>
      <c r="M147" s="5" t="str">
        <f>IF(AND(ISNUMBER(N147),ISNUMBER(L147),L147&gt;0),ROUND(N147/L147,2),"")</f>
        <v/>
      </c>
      <c r="N147" s="6">
        <v>47523</v>
      </c>
      <c r="O147" s="7">
        <v>67890</v>
      </c>
      <c r="P147" s="8">
        <f>IF(AND(ISNUMBER(N147),ISNUMBER(O147),O147&gt;0),N147/O147,"")</f>
        <v>0.7</v>
      </c>
      <c r="Q147" s="2" t="s">
        <v>370</v>
      </c>
      <c r="R147" s="9" t="s">
        <v>439</v>
      </c>
    </row>
    <row r="148" spans="1:18" x14ac:dyDescent="0.25">
      <c r="A148" s="2" t="s">
        <v>34</v>
      </c>
      <c r="B148" s="2" t="s">
        <v>364</v>
      </c>
      <c r="C148" s="2" t="s">
        <v>365</v>
      </c>
      <c r="D148" s="2" t="s">
        <v>440</v>
      </c>
      <c r="E148" s="2" t="s">
        <v>367</v>
      </c>
      <c r="F148" s="2" t="s">
        <v>73</v>
      </c>
      <c r="G148" s="2" t="s">
        <v>119</v>
      </c>
      <c r="H148" s="2" t="s">
        <v>48</v>
      </c>
      <c r="I148" s="3">
        <v>46303.41666666667</v>
      </c>
      <c r="J148" s="2" t="s">
        <v>42</v>
      </c>
      <c r="K148" s="2" t="s">
        <v>368</v>
      </c>
      <c r="L148" s="10" t="s">
        <v>369</v>
      </c>
      <c r="M148" s="5" t="str">
        <f>IF(AND(ISNUMBER(N148),ISNUMBER(L148),L148&gt;0),ROUND(N148/L148,2),"")</f>
        <v/>
      </c>
      <c r="N148" s="6">
        <v>47523</v>
      </c>
      <c r="O148" s="7">
        <v>67890</v>
      </c>
      <c r="P148" s="8">
        <f>IF(AND(ISNUMBER(N148),ISNUMBER(O148),O148&gt;0),N148/O148,"")</f>
        <v>0.7</v>
      </c>
      <c r="Q148" s="2" t="s">
        <v>370</v>
      </c>
      <c r="R148" s="9" t="s">
        <v>441</v>
      </c>
    </row>
    <row r="149" spans="1:18" x14ac:dyDescent="0.25">
      <c r="A149" s="2" t="s">
        <v>34</v>
      </c>
      <c r="B149" s="2" t="s">
        <v>364</v>
      </c>
      <c r="C149" s="2" t="s">
        <v>365</v>
      </c>
      <c r="D149" s="2" t="s">
        <v>442</v>
      </c>
      <c r="E149" s="2" t="s">
        <v>367</v>
      </c>
      <c r="F149" s="2" t="s">
        <v>73</v>
      </c>
      <c r="G149" s="2" t="s">
        <v>119</v>
      </c>
      <c r="H149" s="2" t="s">
        <v>48</v>
      </c>
      <c r="I149" s="3">
        <v>46303.41666666667</v>
      </c>
      <c r="J149" s="2" t="s">
        <v>42</v>
      </c>
      <c r="K149" s="2" t="s">
        <v>368</v>
      </c>
      <c r="L149" s="10" t="s">
        <v>369</v>
      </c>
      <c r="M149" s="5" t="str">
        <f>IF(AND(ISNUMBER(N149),ISNUMBER(L149),L149&gt;0),ROUND(N149/L149,2),"")</f>
        <v/>
      </c>
      <c r="N149" s="6">
        <v>47523</v>
      </c>
      <c r="O149" s="7">
        <v>67890</v>
      </c>
      <c r="P149" s="8">
        <f>IF(AND(ISNUMBER(N149),ISNUMBER(O149),O149&gt;0),N149/O149,"")</f>
        <v>0.7</v>
      </c>
      <c r="Q149" s="2" t="s">
        <v>370</v>
      </c>
      <c r="R149" s="9" t="s">
        <v>443</v>
      </c>
    </row>
    <row r="150" spans="1:18" x14ac:dyDescent="0.25">
      <c r="A150" s="2" t="s">
        <v>34</v>
      </c>
      <c r="B150" s="2" t="s">
        <v>364</v>
      </c>
      <c r="C150" s="2" t="s">
        <v>444</v>
      </c>
      <c r="D150" s="2" t="s">
        <v>445</v>
      </c>
      <c r="E150" s="2" t="s">
        <v>446</v>
      </c>
      <c r="F150" s="2" t="s">
        <v>133</v>
      </c>
      <c r="G150" s="2" t="s">
        <v>119</v>
      </c>
      <c r="H150" s="2" t="s">
        <v>48</v>
      </c>
      <c r="I150" s="3">
        <v>46324.41666666667</v>
      </c>
      <c r="J150" s="2" t="s">
        <v>42</v>
      </c>
      <c r="K150" s="2" t="s">
        <v>447</v>
      </c>
      <c r="L150" s="4">
        <v>98.46</v>
      </c>
      <c r="M150" s="5">
        <f>IF(AND(ISNUMBER(N150),ISNUMBER(L150),L150&gt;0),ROUND(N150/L150,2),"")</f>
        <v>9039.2</v>
      </c>
      <c r="N150" s="6">
        <v>890000</v>
      </c>
      <c r="O150" s="7">
        <v>1259900</v>
      </c>
      <c r="P150" s="8">
        <f>IF(AND(ISNUMBER(N150),ISNUMBER(O150),O150&gt;0),N150/O150,"")</f>
        <v>0.7064052702595444</v>
      </c>
      <c r="Q150" s="9" t="s">
        <v>7</v>
      </c>
      <c r="R150" s="9" t="s">
        <v>448</v>
      </c>
    </row>
    <row r="151" spans="1:18" x14ac:dyDescent="0.25">
      <c r="A151" s="2" t="s">
        <v>34</v>
      </c>
      <c r="B151" s="2" t="s">
        <v>364</v>
      </c>
      <c r="C151" s="2" t="s">
        <v>365</v>
      </c>
      <c r="D151" s="2" t="s">
        <v>449</v>
      </c>
      <c r="E151" s="2" t="s">
        <v>367</v>
      </c>
      <c r="F151" s="2" t="s">
        <v>73</v>
      </c>
      <c r="G151" s="2" t="s">
        <v>119</v>
      </c>
      <c r="H151" s="2" t="s">
        <v>48</v>
      </c>
      <c r="I151" s="3">
        <v>46303.41666666667</v>
      </c>
      <c r="J151" s="2" t="s">
        <v>42</v>
      </c>
      <c r="K151" s="2" t="s">
        <v>368</v>
      </c>
      <c r="L151" s="10" t="s">
        <v>369</v>
      </c>
      <c r="M151" s="5" t="str">
        <f>IF(AND(ISNUMBER(N151),ISNUMBER(L151),L151&gt;0),ROUND(N151/L151,2),"")</f>
        <v/>
      </c>
      <c r="N151" s="6">
        <v>47523</v>
      </c>
      <c r="O151" s="7">
        <v>67890</v>
      </c>
      <c r="P151" s="8">
        <f>IF(AND(ISNUMBER(N151),ISNUMBER(O151),O151&gt;0),N151/O151,"")</f>
        <v>0.7</v>
      </c>
      <c r="Q151" s="2" t="s">
        <v>370</v>
      </c>
      <c r="R151" s="9" t="s">
        <v>450</v>
      </c>
    </row>
    <row r="152" spans="1:18" x14ac:dyDescent="0.25">
      <c r="A152" s="2" t="s">
        <v>34</v>
      </c>
      <c r="B152" s="2" t="s">
        <v>364</v>
      </c>
      <c r="C152" s="2" t="s">
        <v>365</v>
      </c>
      <c r="D152" s="2" t="s">
        <v>451</v>
      </c>
      <c r="E152" s="2" t="s">
        <v>367</v>
      </c>
      <c r="F152" s="2" t="s">
        <v>73</v>
      </c>
      <c r="G152" s="2" t="s">
        <v>119</v>
      </c>
      <c r="H152" s="2" t="s">
        <v>48</v>
      </c>
      <c r="I152" s="3">
        <v>46303.41666666667</v>
      </c>
      <c r="J152" s="2" t="s">
        <v>42</v>
      </c>
      <c r="K152" s="2" t="s">
        <v>368</v>
      </c>
      <c r="L152" s="10" t="s">
        <v>369</v>
      </c>
      <c r="M152" s="5" t="str">
        <f>IF(AND(ISNUMBER(N152),ISNUMBER(L152),L152&gt;0),ROUND(N152/L152,2),"")</f>
        <v/>
      </c>
      <c r="N152" s="6">
        <v>47523</v>
      </c>
      <c r="O152" s="7">
        <v>67890</v>
      </c>
      <c r="P152" s="8">
        <f>IF(AND(ISNUMBER(N152),ISNUMBER(O152),O152&gt;0),N152/O152,"")</f>
        <v>0.7</v>
      </c>
      <c r="Q152" s="2" t="s">
        <v>370</v>
      </c>
      <c r="R152" s="9" t="s">
        <v>452</v>
      </c>
    </row>
    <row r="153" spans="1:18" x14ac:dyDescent="0.25">
      <c r="A153" s="2" t="s">
        <v>34</v>
      </c>
      <c r="B153" s="2" t="s">
        <v>364</v>
      </c>
      <c r="C153" s="2" t="s">
        <v>365</v>
      </c>
      <c r="D153" s="2" t="s">
        <v>453</v>
      </c>
      <c r="E153" s="2" t="s">
        <v>367</v>
      </c>
      <c r="F153" s="2" t="s">
        <v>73</v>
      </c>
      <c r="G153" s="2" t="s">
        <v>119</v>
      </c>
      <c r="H153" s="2" t="s">
        <v>48</v>
      </c>
      <c r="I153" s="3">
        <v>46303.41666666667</v>
      </c>
      <c r="J153" s="2" t="s">
        <v>42</v>
      </c>
      <c r="K153" s="2" t="s">
        <v>368</v>
      </c>
      <c r="L153" s="10" t="s">
        <v>369</v>
      </c>
      <c r="M153" s="5" t="str">
        <f>IF(AND(ISNUMBER(N153),ISNUMBER(L153),L153&gt;0),ROUND(N153/L153,2),"")</f>
        <v/>
      </c>
      <c r="N153" s="6">
        <v>47523</v>
      </c>
      <c r="O153" s="7">
        <v>67890</v>
      </c>
      <c r="P153" s="8">
        <f>IF(AND(ISNUMBER(N153),ISNUMBER(O153),O153&gt;0),N153/O153,"")</f>
        <v>0.7</v>
      </c>
      <c r="Q153" s="2" t="s">
        <v>370</v>
      </c>
      <c r="R153" s="9" t="s">
        <v>454</v>
      </c>
    </row>
    <row r="154" spans="1:18" x14ac:dyDescent="0.25">
      <c r="A154" s="2" t="s">
        <v>34</v>
      </c>
      <c r="B154" s="2" t="s">
        <v>364</v>
      </c>
      <c r="C154" s="2" t="s">
        <v>365</v>
      </c>
      <c r="D154" s="2" t="s">
        <v>455</v>
      </c>
      <c r="E154" s="2" t="s">
        <v>367</v>
      </c>
      <c r="F154" s="2" t="s">
        <v>73</v>
      </c>
      <c r="G154" s="2" t="s">
        <v>119</v>
      </c>
      <c r="H154" s="2" t="s">
        <v>48</v>
      </c>
      <c r="I154" s="3">
        <v>46303.41666666667</v>
      </c>
      <c r="J154" s="2" t="s">
        <v>42</v>
      </c>
      <c r="K154" s="2" t="s">
        <v>368</v>
      </c>
      <c r="L154" s="10" t="s">
        <v>369</v>
      </c>
      <c r="M154" s="5" t="str">
        <f>IF(AND(ISNUMBER(N154),ISNUMBER(L154),L154&gt;0),ROUND(N154/L154,2),"")</f>
        <v/>
      </c>
      <c r="N154" s="6">
        <v>47523</v>
      </c>
      <c r="O154" s="7">
        <v>67890</v>
      </c>
      <c r="P154" s="8">
        <f>IF(AND(ISNUMBER(N154),ISNUMBER(O154),O154&gt;0),N154/O154,"")</f>
        <v>0.7</v>
      </c>
      <c r="Q154" s="2" t="s">
        <v>370</v>
      </c>
      <c r="R154" s="9" t="s">
        <v>456</v>
      </c>
    </row>
    <row r="155" spans="1:18" x14ac:dyDescent="0.25">
      <c r="A155" s="2" t="s">
        <v>34</v>
      </c>
      <c r="B155" s="2" t="s">
        <v>364</v>
      </c>
      <c r="C155" s="2" t="s">
        <v>365</v>
      </c>
      <c r="D155" s="2" t="s">
        <v>457</v>
      </c>
      <c r="E155" s="2" t="s">
        <v>367</v>
      </c>
      <c r="F155" s="2" t="s">
        <v>73</v>
      </c>
      <c r="G155" s="2" t="s">
        <v>119</v>
      </c>
      <c r="H155" s="2" t="s">
        <v>48</v>
      </c>
      <c r="I155" s="3">
        <v>46303.41666666667</v>
      </c>
      <c r="J155" s="2" t="s">
        <v>42</v>
      </c>
      <c r="K155" s="2" t="s">
        <v>368</v>
      </c>
      <c r="L155" s="10" t="s">
        <v>369</v>
      </c>
      <c r="M155" s="5" t="str">
        <f>IF(AND(ISNUMBER(N155),ISNUMBER(L155),L155&gt;0),ROUND(N155/L155,2),"")</f>
        <v/>
      </c>
      <c r="N155" s="6">
        <v>47523</v>
      </c>
      <c r="O155" s="7">
        <v>67890</v>
      </c>
      <c r="P155" s="8">
        <f>IF(AND(ISNUMBER(N155),ISNUMBER(O155),O155&gt;0),N155/O155,"")</f>
        <v>0.7</v>
      </c>
      <c r="Q155" s="2" t="s">
        <v>370</v>
      </c>
      <c r="R155" s="9" t="s">
        <v>458</v>
      </c>
    </row>
    <row r="156" spans="1:18" x14ac:dyDescent="0.25">
      <c r="A156" s="2" t="s">
        <v>34</v>
      </c>
      <c r="B156" s="2" t="s">
        <v>364</v>
      </c>
      <c r="C156" s="2" t="s">
        <v>365</v>
      </c>
      <c r="D156" s="2" t="s">
        <v>459</v>
      </c>
      <c r="E156" s="2" t="s">
        <v>367</v>
      </c>
      <c r="F156" s="2" t="s">
        <v>73</v>
      </c>
      <c r="G156" s="2" t="s">
        <v>119</v>
      </c>
      <c r="H156" s="2" t="s">
        <v>48</v>
      </c>
      <c r="I156" s="3">
        <v>46303.41666666667</v>
      </c>
      <c r="J156" s="2" t="s">
        <v>42</v>
      </c>
      <c r="K156" s="2" t="s">
        <v>368</v>
      </c>
      <c r="L156" s="10" t="s">
        <v>369</v>
      </c>
      <c r="M156" s="5" t="str">
        <f>IF(AND(ISNUMBER(N156),ISNUMBER(L156),L156&gt;0),ROUND(N156/L156,2),"")</f>
        <v/>
      </c>
      <c r="N156" s="6">
        <v>47523</v>
      </c>
      <c r="O156" s="7">
        <v>67890</v>
      </c>
      <c r="P156" s="8">
        <f>IF(AND(ISNUMBER(N156),ISNUMBER(O156),O156&gt;0),N156/O156,"")</f>
        <v>0.7</v>
      </c>
      <c r="Q156" s="2" t="s">
        <v>370</v>
      </c>
      <c r="R156" s="9" t="s">
        <v>460</v>
      </c>
    </row>
    <row r="157" spans="1:18" x14ac:dyDescent="0.25">
      <c r="A157" s="2" t="s">
        <v>34</v>
      </c>
      <c r="B157" s="2" t="s">
        <v>364</v>
      </c>
      <c r="C157" s="2" t="s">
        <v>365</v>
      </c>
      <c r="D157" s="2" t="s">
        <v>461</v>
      </c>
      <c r="E157" s="2" t="s">
        <v>367</v>
      </c>
      <c r="F157" s="2" t="s">
        <v>73</v>
      </c>
      <c r="G157" s="2" t="s">
        <v>119</v>
      </c>
      <c r="H157" s="2" t="s">
        <v>48</v>
      </c>
      <c r="I157" s="3">
        <v>46303.41666666667</v>
      </c>
      <c r="J157" s="2" t="s">
        <v>42</v>
      </c>
      <c r="K157" s="2" t="s">
        <v>368</v>
      </c>
      <c r="L157" s="10" t="s">
        <v>369</v>
      </c>
      <c r="M157" s="5" t="str">
        <f>IF(AND(ISNUMBER(N157),ISNUMBER(L157),L157&gt;0),ROUND(N157/L157,2),"")</f>
        <v/>
      </c>
      <c r="N157" s="6">
        <v>47523</v>
      </c>
      <c r="O157" s="7">
        <v>67890</v>
      </c>
      <c r="P157" s="8">
        <f>IF(AND(ISNUMBER(N157),ISNUMBER(O157),O157&gt;0),N157/O157,"")</f>
        <v>0.7</v>
      </c>
      <c r="Q157" s="2" t="s">
        <v>370</v>
      </c>
      <c r="R157" s="9" t="s">
        <v>462</v>
      </c>
    </row>
    <row r="158" spans="1:18" x14ac:dyDescent="0.25">
      <c r="A158" s="2" t="s">
        <v>34</v>
      </c>
      <c r="B158" s="2" t="s">
        <v>364</v>
      </c>
      <c r="C158" s="2" t="s">
        <v>365</v>
      </c>
      <c r="D158" s="2" t="s">
        <v>463</v>
      </c>
      <c r="E158" s="2" t="s">
        <v>367</v>
      </c>
      <c r="F158" s="2" t="s">
        <v>73</v>
      </c>
      <c r="G158" s="2" t="s">
        <v>119</v>
      </c>
      <c r="H158" s="2" t="s">
        <v>48</v>
      </c>
      <c r="I158" s="3">
        <v>46303.41666666667</v>
      </c>
      <c r="J158" s="2" t="s">
        <v>42</v>
      </c>
      <c r="K158" s="2" t="s">
        <v>368</v>
      </c>
      <c r="L158" s="10" t="s">
        <v>369</v>
      </c>
      <c r="M158" s="5" t="str">
        <f>IF(AND(ISNUMBER(N158),ISNUMBER(L158),L158&gt;0),ROUND(N158/L158,2),"")</f>
        <v/>
      </c>
      <c r="N158" s="6">
        <v>47523</v>
      </c>
      <c r="O158" s="7">
        <v>67890</v>
      </c>
      <c r="P158" s="8">
        <f>IF(AND(ISNUMBER(N158),ISNUMBER(O158),O158&gt;0),N158/O158,"")</f>
        <v>0.7</v>
      </c>
      <c r="Q158" s="2" t="s">
        <v>370</v>
      </c>
      <c r="R158" s="9" t="s">
        <v>464</v>
      </c>
    </row>
    <row r="159" spans="1:18" x14ac:dyDescent="0.25">
      <c r="A159" s="2" t="s">
        <v>34</v>
      </c>
      <c r="B159" s="2" t="s">
        <v>364</v>
      </c>
      <c r="C159" s="2" t="s">
        <v>365</v>
      </c>
      <c r="D159" s="2" t="s">
        <v>465</v>
      </c>
      <c r="E159" s="2" t="s">
        <v>367</v>
      </c>
      <c r="F159" s="2" t="s">
        <v>73</v>
      </c>
      <c r="G159" s="2" t="s">
        <v>119</v>
      </c>
      <c r="H159" s="2" t="s">
        <v>48</v>
      </c>
      <c r="I159" s="3">
        <v>46303.41666666667</v>
      </c>
      <c r="J159" s="2" t="s">
        <v>42</v>
      </c>
      <c r="K159" s="2" t="s">
        <v>368</v>
      </c>
      <c r="L159" s="10" t="s">
        <v>369</v>
      </c>
      <c r="M159" s="5" t="str">
        <f>IF(AND(ISNUMBER(N159),ISNUMBER(L159),L159&gt;0),ROUND(N159/L159,2),"")</f>
        <v/>
      </c>
      <c r="N159" s="6">
        <v>47523</v>
      </c>
      <c r="O159" s="7">
        <v>67890</v>
      </c>
      <c r="P159" s="8">
        <f>IF(AND(ISNUMBER(N159),ISNUMBER(O159),O159&gt;0),N159/O159,"")</f>
        <v>0.7</v>
      </c>
      <c r="Q159" s="2" t="s">
        <v>370</v>
      </c>
      <c r="R159" s="9" t="s">
        <v>466</v>
      </c>
    </row>
    <row r="160" spans="1:18" x14ac:dyDescent="0.25">
      <c r="A160" s="2" t="s">
        <v>34</v>
      </c>
      <c r="B160" s="2" t="s">
        <v>364</v>
      </c>
      <c r="C160" s="2" t="s">
        <v>365</v>
      </c>
      <c r="D160" s="2" t="s">
        <v>467</v>
      </c>
      <c r="E160" s="2" t="s">
        <v>367</v>
      </c>
      <c r="F160" s="2" t="s">
        <v>73</v>
      </c>
      <c r="G160" s="2" t="s">
        <v>119</v>
      </c>
      <c r="H160" s="2" t="s">
        <v>48</v>
      </c>
      <c r="I160" s="3">
        <v>46303.41666666667</v>
      </c>
      <c r="J160" s="2" t="s">
        <v>42</v>
      </c>
      <c r="K160" s="2" t="s">
        <v>368</v>
      </c>
      <c r="L160" s="10" t="s">
        <v>369</v>
      </c>
      <c r="M160" s="5" t="str">
        <f>IF(AND(ISNUMBER(N160),ISNUMBER(L160),L160&gt;0),ROUND(N160/L160,2),"")</f>
        <v/>
      </c>
      <c r="N160" s="6">
        <v>47523</v>
      </c>
      <c r="O160" s="7">
        <v>67890</v>
      </c>
      <c r="P160" s="8">
        <f>IF(AND(ISNUMBER(N160),ISNUMBER(O160),O160&gt;0),N160/O160,"")</f>
        <v>0.7</v>
      </c>
      <c r="Q160" s="2" t="s">
        <v>370</v>
      </c>
      <c r="R160" s="9" t="s">
        <v>468</v>
      </c>
    </row>
    <row r="161" spans="1:18" x14ac:dyDescent="0.25">
      <c r="A161" s="2" t="s">
        <v>34</v>
      </c>
      <c r="B161" s="2" t="s">
        <v>364</v>
      </c>
      <c r="C161" s="2" t="s">
        <v>365</v>
      </c>
      <c r="D161" s="2" t="s">
        <v>469</v>
      </c>
      <c r="E161" s="2" t="s">
        <v>367</v>
      </c>
      <c r="F161" s="2" t="s">
        <v>73</v>
      </c>
      <c r="G161" s="2" t="s">
        <v>119</v>
      </c>
      <c r="H161" s="2" t="s">
        <v>48</v>
      </c>
      <c r="I161" s="3">
        <v>46303.41666666667</v>
      </c>
      <c r="J161" s="2" t="s">
        <v>42</v>
      </c>
      <c r="K161" s="2" t="s">
        <v>368</v>
      </c>
      <c r="L161" s="10" t="s">
        <v>369</v>
      </c>
      <c r="M161" s="5" t="str">
        <f>IF(AND(ISNUMBER(N161),ISNUMBER(L161),L161&gt;0),ROUND(N161/L161,2),"")</f>
        <v/>
      </c>
      <c r="N161" s="6">
        <v>47523</v>
      </c>
      <c r="O161" s="7">
        <v>67890</v>
      </c>
      <c r="P161" s="8">
        <f>IF(AND(ISNUMBER(N161),ISNUMBER(O161),O161&gt;0),N161/O161,"")</f>
        <v>0.7</v>
      </c>
      <c r="Q161" s="2" t="s">
        <v>370</v>
      </c>
      <c r="R161" s="9" t="s">
        <v>470</v>
      </c>
    </row>
    <row r="162" spans="1:18" x14ac:dyDescent="0.25">
      <c r="A162" s="2" t="s">
        <v>34</v>
      </c>
      <c r="B162" s="2" t="s">
        <v>364</v>
      </c>
      <c r="C162" s="2" t="s">
        <v>365</v>
      </c>
      <c r="D162" s="2" t="s">
        <v>471</v>
      </c>
      <c r="E162" s="2" t="s">
        <v>367</v>
      </c>
      <c r="F162" s="2" t="s">
        <v>73</v>
      </c>
      <c r="G162" s="2" t="s">
        <v>119</v>
      </c>
      <c r="H162" s="2" t="s">
        <v>48</v>
      </c>
      <c r="I162" s="3">
        <v>46303.41666666667</v>
      </c>
      <c r="J162" s="2" t="s">
        <v>42</v>
      </c>
      <c r="K162" s="2" t="s">
        <v>368</v>
      </c>
      <c r="L162" s="10" t="s">
        <v>369</v>
      </c>
      <c r="M162" s="5" t="str">
        <f>IF(AND(ISNUMBER(N162),ISNUMBER(L162),L162&gt;0),ROUND(N162/L162,2),"")</f>
        <v/>
      </c>
      <c r="N162" s="6">
        <v>47523</v>
      </c>
      <c r="O162" s="7">
        <v>67890</v>
      </c>
      <c r="P162" s="8">
        <f>IF(AND(ISNUMBER(N162),ISNUMBER(O162),O162&gt;0),N162/O162,"")</f>
        <v>0.7</v>
      </c>
      <c r="Q162" s="2" t="s">
        <v>370</v>
      </c>
      <c r="R162" s="9" t="s">
        <v>472</v>
      </c>
    </row>
    <row r="163" spans="1:18" x14ac:dyDescent="0.25">
      <c r="A163" s="2" t="s">
        <v>34</v>
      </c>
      <c r="B163" s="2" t="s">
        <v>364</v>
      </c>
      <c r="C163" s="2" t="s">
        <v>365</v>
      </c>
      <c r="D163" s="2" t="s">
        <v>473</v>
      </c>
      <c r="E163" s="2" t="s">
        <v>367</v>
      </c>
      <c r="F163" s="2" t="s">
        <v>73</v>
      </c>
      <c r="G163" s="2" t="s">
        <v>119</v>
      </c>
      <c r="H163" s="2" t="s">
        <v>48</v>
      </c>
      <c r="I163" s="3">
        <v>46303.41666666667</v>
      </c>
      <c r="J163" s="2" t="s">
        <v>42</v>
      </c>
      <c r="K163" s="2" t="s">
        <v>368</v>
      </c>
      <c r="L163" s="10" t="s">
        <v>369</v>
      </c>
      <c r="M163" s="5" t="str">
        <f>IF(AND(ISNUMBER(N163),ISNUMBER(L163),L163&gt;0),ROUND(N163/L163,2),"")</f>
        <v/>
      </c>
      <c r="N163" s="6">
        <v>47523</v>
      </c>
      <c r="O163" s="7">
        <v>67890</v>
      </c>
      <c r="P163" s="8">
        <f>IF(AND(ISNUMBER(N163),ISNUMBER(O163),O163&gt;0),N163/O163,"")</f>
        <v>0.7</v>
      </c>
      <c r="Q163" s="2" t="s">
        <v>370</v>
      </c>
      <c r="R163" s="9" t="s">
        <v>474</v>
      </c>
    </row>
    <row r="164" spans="1:18" x14ac:dyDescent="0.25">
      <c r="A164" s="2" t="s">
        <v>34</v>
      </c>
      <c r="B164" s="2" t="s">
        <v>364</v>
      </c>
      <c r="C164" s="2" t="s">
        <v>365</v>
      </c>
      <c r="D164" s="2" t="s">
        <v>475</v>
      </c>
      <c r="E164" s="2" t="s">
        <v>367</v>
      </c>
      <c r="F164" s="2" t="s">
        <v>73</v>
      </c>
      <c r="G164" s="2" t="s">
        <v>119</v>
      </c>
      <c r="H164" s="2" t="s">
        <v>48</v>
      </c>
      <c r="I164" s="3">
        <v>46303.41666666667</v>
      </c>
      <c r="J164" s="2" t="s">
        <v>42</v>
      </c>
      <c r="K164" s="2" t="s">
        <v>368</v>
      </c>
      <c r="L164" s="10" t="s">
        <v>369</v>
      </c>
      <c r="M164" s="5" t="str">
        <f>IF(AND(ISNUMBER(N164),ISNUMBER(L164),L164&gt;0),ROUND(N164/L164,2),"")</f>
        <v/>
      </c>
      <c r="N164" s="6">
        <v>47523</v>
      </c>
      <c r="O164" s="7">
        <v>67890</v>
      </c>
      <c r="P164" s="8">
        <f>IF(AND(ISNUMBER(N164),ISNUMBER(O164),O164&gt;0),N164/O164,"")</f>
        <v>0.7</v>
      </c>
      <c r="Q164" s="2" t="s">
        <v>370</v>
      </c>
      <c r="R164" s="9" t="s">
        <v>476</v>
      </c>
    </row>
    <row r="165" spans="1:18" x14ac:dyDescent="0.25">
      <c r="A165" s="2" t="s">
        <v>34</v>
      </c>
      <c r="B165" s="2" t="s">
        <v>364</v>
      </c>
      <c r="C165" s="2" t="s">
        <v>477</v>
      </c>
      <c r="D165" s="2" t="s">
        <v>478</v>
      </c>
      <c r="E165" s="2" t="s">
        <v>479</v>
      </c>
      <c r="F165" s="2" t="s">
        <v>39</v>
      </c>
      <c r="G165" s="2" t="s">
        <v>119</v>
      </c>
      <c r="H165" s="2" t="s">
        <v>48</v>
      </c>
      <c r="I165" s="3">
        <v>46303.41666666667</v>
      </c>
      <c r="J165" s="2" t="s">
        <v>42</v>
      </c>
      <c r="K165" s="2" t="s">
        <v>480</v>
      </c>
      <c r="L165" s="4">
        <v>38.54</v>
      </c>
      <c r="M165" s="5">
        <f>IF(AND(ISNUMBER(N165),ISNUMBER(L165),L165&gt;0),ROUND(N165/L165,2),"")</f>
        <v>6227.3</v>
      </c>
      <c r="N165" s="6">
        <v>240000</v>
      </c>
      <c r="O165" s="7">
        <v>300900</v>
      </c>
      <c r="P165" s="8">
        <f>IF(AND(ISNUMBER(N165),ISNUMBER(O165),O165&gt;0),N165/O165,"")</f>
        <v>0.7976071784646062</v>
      </c>
      <c r="Q165" s="2" t="s">
        <v>155</v>
      </c>
      <c r="R165" s="9" t="s">
        <v>481</v>
      </c>
    </row>
    <row r="166" spans="1:18" x14ac:dyDescent="0.25">
      <c r="A166" s="2" t="s">
        <v>34</v>
      </c>
      <c r="B166" s="2" t="s">
        <v>364</v>
      </c>
      <c r="C166" s="2" t="s">
        <v>365</v>
      </c>
      <c r="D166" s="2" t="s">
        <v>482</v>
      </c>
      <c r="E166" s="2" t="s">
        <v>367</v>
      </c>
      <c r="F166" s="2" t="s">
        <v>73</v>
      </c>
      <c r="G166" s="2" t="s">
        <v>119</v>
      </c>
      <c r="H166" s="2" t="s">
        <v>48</v>
      </c>
      <c r="I166" s="3">
        <v>46303.41666666667</v>
      </c>
      <c r="J166" s="2" t="s">
        <v>42</v>
      </c>
      <c r="K166" s="2" t="s">
        <v>368</v>
      </c>
      <c r="L166" s="10" t="s">
        <v>369</v>
      </c>
      <c r="M166" s="5" t="str">
        <f>IF(AND(ISNUMBER(N166),ISNUMBER(L166),L166&gt;0),ROUND(N166/L166,2),"")</f>
        <v/>
      </c>
      <c r="N166" s="6">
        <v>47523</v>
      </c>
      <c r="O166" s="7">
        <v>67890</v>
      </c>
      <c r="P166" s="8">
        <f>IF(AND(ISNUMBER(N166),ISNUMBER(O166),O166&gt;0),N166/O166,"")</f>
        <v>0.7</v>
      </c>
      <c r="Q166" s="2" t="s">
        <v>370</v>
      </c>
      <c r="R166" s="9" t="s">
        <v>483</v>
      </c>
    </row>
    <row r="167" spans="1:18" x14ac:dyDescent="0.25">
      <c r="A167" s="2" t="s">
        <v>34</v>
      </c>
      <c r="B167" s="2" t="s">
        <v>364</v>
      </c>
      <c r="C167" s="2" t="s">
        <v>365</v>
      </c>
      <c r="D167" s="2" t="s">
        <v>484</v>
      </c>
      <c r="E167" s="2" t="s">
        <v>367</v>
      </c>
      <c r="F167" s="2" t="s">
        <v>73</v>
      </c>
      <c r="G167" s="2" t="s">
        <v>119</v>
      </c>
      <c r="H167" s="2" t="s">
        <v>48</v>
      </c>
      <c r="I167" s="3">
        <v>46303.41666666667</v>
      </c>
      <c r="J167" s="2" t="s">
        <v>42</v>
      </c>
      <c r="K167" s="2" t="s">
        <v>368</v>
      </c>
      <c r="L167" s="10" t="s">
        <v>369</v>
      </c>
      <c r="M167" s="5" t="str">
        <f>IF(AND(ISNUMBER(N167),ISNUMBER(L167),L167&gt;0),ROUND(N167/L167,2),"")</f>
        <v/>
      </c>
      <c r="N167" s="6">
        <v>47523</v>
      </c>
      <c r="O167" s="7">
        <v>67890</v>
      </c>
      <c r="P167" s="8">
        <f>IF(AND(ISNUMBER(N167),ISNUMBER(O167),O167&gt;0),N167/O167,"")</f>
        <v>0.7</v>
      </c>
      <c r="Q167" s="2" t="s">
        <v>370</v>
      </c>
      <c r="R167" s="9" t="s">
        <v>485</v>
      </c>
    </row>
    <row r="168" spans="1:18" x14ac:dyDescent="0.25">
      <c r="A168" s="2" t="s">
        <v>34</v>
      </c>
      <c r="B168" s="2" t="s">
        <v>364</v>
      </c>
      <c r="C168" s="2" t="s">
        <v>477</v>
      </c>
      <c r="D168" s="2" t="s">
        <v>486</v>
      </c>
      <c r="E168" s="2" t="s">
        <v>487</v>
      </c>
      <c r="F168" s="2" t="s">
        <v>133</v>
      </c>
      <c r="G168" s="2" t="s">
        <v>119</v>
      </c>
      <c r="H168" s="2" t="s">
        <v>48</v>
      </c>
      <c r="I168" s="3">
        <v>46303.41666666667</v>
      </c>
      <c r="J168" s="2" t="s">
        <v>42</v>
      </c>
      <c r="K168" s="2" t="s">
        <v>480</v>
      </c>
      <c r="L168" s="4">
        <v>34.94</v>
      </c>
      <c r="M168" s="5">
        <f>IF(AND(ISNUMBER(N168),ISNUMBER(L168),L168&gt;0),ROUND(N168/L168,2),"")</f>
        <v>1.12</v>
      </c>
      <c r="N168" s="6">
        <v>39</v>
      </c>
      <c r="O168" s="7">
        <v>492200</v>
      </c>
      <c r="P168" s="8">
        <f>IF(AND(ISNUMBER(N168),ISNUMBER(O168),O168&gt;0),N168/O168,"")</f>
        <v>0.00007923608289313287</v>
      </c>
      <c r="Q168" s="2" t="s">
        <v>488</v>
      </c>
      <c r="R168" s="9" t="s">
        <v>489</v>
      </c>
    </row>
    <row r="169" spans="1:18" x14ac:dyDescent="0.25">
      <c r="A169" s="2" t="s">
        <v>34</v>
      </c>
      <c r="B169" s="2" t="s">
        <v>364</v>
      </c>
      <c r="C169" s="2" t="s">
        <v>365</v>
      </c>
      <c r="D169" s="2" t="s">
        <v>490</v>
      </c>
      <c r="E169" s="2" t="s">
        <v>367</v>
      </c>
      <c r="F169" s="2" t="s">
        <v>73</v>
      </c>
      <c r="G169" s="2" t="s">
        <v>119</v>
      </c>
      <c r="H169" s="2" t="s">
        <v>48</v>
      </c>
      <c r="I169" s="3">
        <v>46303.41666666667</v>
      </c>
      <c r="J169" s="2" t="s">
        <v>42</v>
      </c>
      <c r="K169" s="2" t="s">
        <v>368</v>
      </c>
      <c r="L169" s="10" t="s">
        <v>369</v>
      </c>
      <c r="M169" s="5" t="str">
        <f>IF(AND(ISNUMBER(N169),ISNUMBER(L169),L169&gt;0),ROUND(N169/L169,2),"")</f>
        <v/>
      </c>
      <c r="N169" s="6">
        <v>47523</v>
      </c>
      <c r="O169" s="7">
        <v>67890</v>
      </c>
      <c r="P169" s="8">
        <f>IF(AND(ISNUMBER(N169),ISNUMBER(O169),O169&gt;0),N169/O169,"")</f>
        <v>0.7</v>
      </c>
      <c r="Q169" s="2" t="s">
        <v>370</v>
      </c>
      <c r="R169" s="9" t="s">
        <v>491</v>
      </c>
    </row>
    <row r="170" spans="1:18" x14ac:dyDescent="0.25">
      <c r="A170" s="2" t="s">
        <v>34</v>
      </c>
      <c r="B170" s="2" t="s">
        <v>364</v>
      </c>
      <c r="C170" s="2" t="s">
        <v>365</v>
      </c>
      <c r="D170" s="2" t="s">
        <v>492</v>
      </c>
      <c r="E170" s="2" t="s">
        <v>367</v>
      </c>
      <c r="F170" s="2" t="s">
        <v>73</v>
      </c>
      <c r="G170" s="2" t="s">
        <v>119</v>
      </c>
      <c r="H170" s="2" t="s">
        <v>48</v>
      </c>
      <c r="I170" s="3">
        <v>46303.41666666667</v>
      </c>
      <c r="J170" s="2" t="s">
        <v>42</v>
      </c>
      <c r="K170" s="2" t="s">
        <v>368</v>
      </c>
      <c r="L170" s="10" t="s">
        <v>369</v>
      </c>
      <c r="M170" s="5" t="str">
        <f>IF(AND(ISNUMBER(N170),ISNUMBER(L170),L170&gt;0),ROUND(N170/L170,2),"")</f>
        <v/>
      </c>
      <c r="N170" s="6">
        <v>48949</v>
      </c>
      <c r="O170" s="7">
        <v>69927</v>
      </c>
      <c r="P170" s="8">
        <f>IF(AND(ISNUMBER(N170),ISNUMBER(O170),O170&gt;0),N170/O170,"")</f>
        <v>0.7000014300627797</v>
      </c>
      <c r="Q170" s="2" t="s">
        <v>370</v>
      </c>
      <c r="R170" s="9" t="s">
        <v>493</v>
      </c>
    </row>
    <row r="171" spans="1:18" x14ac:dyDescent="0.25">
      <c r="A171" s="2" t="s">
        <v>34</v>
      </c>
      <c r="B171" s="2" t="s">
        <v>364</v>
      </c>
      <c r="C171" s="2" t="s">
        <v>365</v>
      </c>
      <c r="D171" s="2" t="s">
        <v>494</v>
      </c>
      <c r="E171" s="2" t="s">
        <v>367</v>
      </c>
      <c r="F171" s="2" t="s">
        <v>73</v>
      </c>
      <c r="G171" s="2" t="s">
        <v>119</v>
      </c>
      <c r="H171" s="2" t="s">
        <v>48</v>
      </c>
      <c r="I171" s="3">
        <v>46303.41666666667</v>
      </c>
      <c r="J171" s="2" t="s">
        <v>42</v>
      </c>
      <c r="K171" s="2" t="s">
        <v>368</v>
      </c>
      <c r="L171" s="10" t="s">
        <v>369</v>
      </c>
      <c r="M171" s="5" t="str">
        <f>IF(AND(ISNUMBER(N171),ISNUMBER(L171),L171&gt;0),ROUND(N171/L171,2),"")</f>
        <v/>
      </c>
      <c r="N171" s="6">
        <v>47523</v>
      </c>
      <c r="O171" s="7">
        <v>67890</v>
      </c>
      <c r="P171" s="8">
        <f>IF(AND(ISNUMBER(N171),ISNUMBER(O171),O171&gt;0),N171/O171,"")</f>
        <v>0.7</v>
      </c>
      <c r="Q171" s="2" t="s">
        <v>370</v>
      </c>
      <c r="R171" s="9" t="s">
        <v>495</v>
      </c>
    </row>
    <row r="172" spans="1:18" x14ac:dyDescent="0.25">
      <c r="A172" s="2" t="s">
        <v>34</v>
      </c>
      <c r="B172" s="2" t="s">
        <v>364</v>
      </c>
      <c r="C172" s="2" t="s">
        <v>365</v>
      </c>
      <c r="D172" s="2" t="s">
        <v>496</v>
      </c>
      <c r="E172" s="2" t="s">
        <v>367</v>
      </c>
      <c r="F172" s="2" t="s">
        <v>73</v>
      </c>
      <c r="G172" s="2" t="s">
        <v>119</v>
      </c>
      <c r="H172" s="2" t="s">
        <v>48</v>
      </c>
      <c r="I172" s="3">
        <v>46303.41666666667</v>
      </c>
      <c r="J172" s="2" t="s">
        <v>42</v>
      </c>
      <c r="K172" s="2" t="s">
        <v>368</v>
      </c>
      <c r="L172" s="10" t="s">
        <v>369</v>
      </c>
      <c r="M172" s="5" t="str">
        <f>IF(AND(ISNUMBER(N172),ISNUMBER(L172),L172&gt;0),ROUND(N172/L172,2),"")</f>
        <v/>
      </c>
      <c r="N172" s="6">
        <v>47523</v>
      </c>
      <c r="O172" s="7">
        <v>67890</v>
      </c>
      <c r="P172" s="8">
        <f>IF(AND(ISNUMBER(N172),ISNUMBER(O172),O172&gt;0),N172/O172,"")</f>
        <v>0.7</v>
      </c>
      <c r="Q172" s="2" t="s">
        <v>370</v>
      </c>
      <c r="R172" s="9" t="s">
        <v>497</v>
      </c>
    </row>
    <row r="173" spans="1:18" x14ac:dyDescent="0.25">
      <c r="A173" s="2" t="s">
        <v>34</v>
      </c>
      <c r="B173" s="2" t="s">
        <v>364</v>
      </c>
      <c r="C173" s="2" t="s">
        <v>365</v>
      </c>
      <c r="D173" s="2" t="s">
        <v>498</v>
      </c>
      <c r="E173" s="2" t="s">
        <v>367</v>
      </c>
      <c r="F173" s="2" t="s">
        <v>73</v>
      </c>
      <c r="G173" s="2" t="s">
        <v>119</v>
      </c>
      <c r="H173" s="2" t="s">
        <v>48</v>
      </c>
      <c r="I173" s="3">
        <v>46303.41666666667</v>
      </c>
      <c r="J173" s="2" t="s">
        <v>42</v>
      </c>
      <c r="K173" s="2" t="s">
        <v>368</v>
      </c>
      <c r="L173" s="10" t="s">
        <v>369</v>
      </c>
      <c r="M173" s="5" t="str">
        <f>IF(AND(ISNUMBER(N173),ISNUMBER(L173),L173&gt;0),ROUND(N173/L173,2),"")</f>
        <v/>
      </c>
      <c r="N173" s="6">
        <v>47523</v>
      </c>
      <c r="O173" s="7">
        <v>67890</v>
      </c>
      <c r="P173" s="8">
        <f>IF(AND(ISNUMBER(N173),ISNUMBER(O173),O173&gt;0),N173/O173,"")</f>
        <v>0.7</v>
      </c>
      <c r="Q173" s="2" t="s">
        <v>370</v>
      </c>
      <c r="R173" s="9" t="s">
        <v>499</v>
      </c>
    </row>
    <row r="174" spans="1:18" x14ac:dyDescent="0.25">
      <c r="A174" s="2" t="s">
        <v>34</v>
      </c>
      <c r="B174" s="2" t="s">
        <v>364</v>
      </c>
      <c r="C174" s="2" t="s">
        <v>365</v>
      </c>
      <c r="D174" s="2" t="s">
        <v>500</v>
      </c>
      <c r="E174" s="2" t="s">
        <v>367</v>
      </c>
      <c r="F174" s="2" t="s">
        <v>73</v>
      </c>
      <c r="G174" s="2" t="s">
        <v>119</v>
      </c>
      <c r="H174" s="2" t="s">
        <v>48</v>
      </c>
      <c r="I174" s="3">
        <v>46303.41666666667</v>
      </c>
      <c r="J174" s="2" t="s">
        <v>42</v>
      </c>
      <c r="K174" s="2" t="s">
        <v>368</v>
      </c>
      <c r="L174" s="10" t="s">
        <v>369</v>
      </c>
      <c r="M174" s="5" t="str">
        <f>IF(AND(ISNUMBER(N174),ISNUMBER(L174),L174&gt;0),ROUND(N174/L174,2),"")</f>
        <v/>
      </c>
      <c r="N174" s="6">
        <v>47523</v>
      </c>
      <c r="O174" s="7">
        <v>67890</v>
      </c>
      <c r="P174" s="8">
        <f>IF(AND(ISNUMBER(N174),ISNUMBER(O174),O174&gt;0),N174/O174,"")</f>
        <v>0.7</v>
      </c>
      <c r="Q174" s="2" t="s">
        <v>370</v>
      </c>
      <c r="R174" s="9" t="s">
        <v>501</v>
      </c>
    </row>
    <row r="175" spans="1:18" x14ac:dyDescent="0.25">
      <c r="A175" s="2" t="s">
        <v>34</v>
      </c>
      <c r="B175" s="2" t="s">
        <v>364</v>
      </c>
      <c r="C175" s="2" t="s">
        <v>365</v>
      </c>
      <c r="D175" s="2" t="s">
        <v>502</v>
      </c>
      <c r="E175" s="2" t="s">
        <v>367</v>
      </c>
      <c r="F175" s="2" t="s">
        <v>73</v>
      </c>
      <c r="G175" s="2" t="s">
        <v>119</v>
      </c>
      <c r="H175" s="2" t="s">
        <v>48</v>
      </c>
      <c r="I175" s="3">
        <v>46303.41666666667</v>
      </c>
      <c r="J175" s="2" t="s">
        <v>42</v>
      </c>
      <c r="K175" s="2" t="s">
        <v>368</v>
      </c>
      <c r="L175" s="10" t="s">
        <v>369</v>
      </c>
      <c r="M175" s="5" t="str">
        <f>IF(AND(ISNUMBER(N175),ISNUMBER(L175),L175&gt;0),ROUND(N175/L175,2),"")</f>
        <v/>
      </c>
      <c r="N175" s="6">
        <v>47523</v>
      </c>
      <c r="O175" s="7">
        <v>67890</v>
      </c>
      <c r="P175" s="8">
        <f>IF(AND(ISNUMBER(N175),ISNUMBER(O175),O175&gt;0),N175/O175,"")</f>
        <v>0.7</v>
      </c>
      <c r="Q175" s="2" t="s">
        <v>370</v>
      </c>
      <c r="R175" s="9" t="s">
        <v>503</v>
      </c>
    </row>
    <row r="176" spans="1:18" x14ac:dyDescent="0.25">
      <c r="A176" s="2" t="s">
        <v>34</v>
      </c>
      <c r="B176" s="2" t="s">
        <v>364</v>
      </c>
      <c r="C176" s="2" t="s">
        <v>399</v>
      </c>
      <c r="D176" s="2" t="s">
        <v>504</v>
      </c>
      <c r="E176" s="2" t="s">
        <v>505</v>
      </c>
      <c r="F176" s="2" t="s">
        <v>39</v>
      </c>
      <c r="G176" s="2" t="s">
        <v>119</v>
      </c>
      <c r="H176" s="2" t="s">
        <v>48</v>
      </c>
      <c r="I176" s="3">
        <v>46300.41666666667</v>
      </c>
      <c r="J176" s="2" t="s">
        <v>42</v>
      </c>
      <c r="K176" s="2" t="s">
        <v>402</v>
      </c>
      <c r="L176" s="4">
        <v>99.58</v>
      </c>
      <c r="M176" s="5">
        <f>IF(AND(ISNUMBER(N176),ISNUMBER(L176),L176&gt;0),ROUND(N176/L176,2),"")</f>
        <v>4625.43</v>
      </c>
      <c r="N176" s="6">
        <v>460600</v>
      </c>
      <c r="O176" s="7">
        <v>657228</v>
      </c>
      <c r="P176" s="8">
        <f>IF(AND(ISNUMBER(N176),ISNUMBER(O176),O176&gt;0),N176/O176,"")</f>
        <v>0.7008222412922152</v>
      </c>
      <c r="Q176" s="9" t="s">
        <v>7</v>
      </c>
      <c r="R176" s="9" t="s">
        <v>506</v>
      </c>
    </row>
    <row r="177" spans="1:18" x14ac:dyDescent="0.25">
      <c r="A177" s="2" t="s">
        <v>34</v>
      </c>
      <c r="B177" s="2" t="s">
        <v>364</v>
      </c>
      <c r="C177" s="2" t="s">
        <v>365</v>
      </c>
      <c r="D177" s="2" t="s">
        <v>507</v>
      </c>
      <c r="E177" s="2" t="s">
        <v>367</v>
      </c>
      <c r="F177" s="2" t="s">
        <v>73</v>
      </c>
      <c r="G177" s="2" t="s">
        <v>119</v>
      </c>
      <c r="H177" s="2" t="s">
        <v>48</v>
      </c>
      <c r="I177" s="3">
        <v>46303.41666666667</v>
      </c>
      <c r="J177" s="2" t="s">
        <v>42</v>
      </c>
      <c r="K177" s="2" t="s">
        <v>368</v>
      </c>
      <c r="L177" s="10" t="s">
        <v>369</v>
      </c>
      <c r="M177" s="5" t="str">
        <f>IF(AND(ISNUMBER(N177),ISNUMBER(L177),L177&gt;0),ROUND(N177/L177,2),"")</f>
        <v/>
      </c>
      <c r="N177" s="6">
        <v>47523</v>
      </c>
      <c r="O177" s="7">
        <v>67890</v>
      </c>
      <c r="P177" s="8">
        <f>IF(AND(ISNUMBER(N177),ISNUMBER(O177),O177&gt;0),N177/O177,"")</f>
        <v>0.7</v>
      </c>
      <c r="Q177" s="2" t="s">
        <v>370</v>
      </c>
      <c r="R177" s="9" t="s">
        <v>508</v>
      </c>
    </row>
    <row r="178" spans="1:18" x14ac:dyDescent="0.25">
      <c r="A178" s="2" t="s">
        <v>34</v>
      </c>
      <c r="B178" s="2" t="s">
        <v>364</v>
      </c>
      <c r="C178" s="2" t="s">
        <v>365</v>
      </c>
      <c r="D178" s="2" t="s">
        <v>509</v>
      </c>
      <c r="E178" s="2" t="s">
        <v>367</v>
      </c>
      <c r="F178" s="2" t="s">
        <v>73</v>
      </c>
      <c r="G178" s="2" t="s">
        <v>119</v>
      </c>
      <c r="H178" s="2" t="s">
        <v>48</v>
      </c>
      <c r="I178" s="3">
        <v>46303.41666666667</v>
      </c>
      <c r="J178" s="2" t="s">
        <v>42</v>
      </c>
      <c r="K178" s="2" t="s">
        <v>368</v>
      </c>
      <c r="L178" s="10" t="s">
        <v>369</v>
      </c>
      <c r="M178" s="5" t="str">
        <f>IF(AND(ISNUMBER(N178),ISNUMBER(L178),L178&gt;0),ROUND(N178/L178,2),"")</f>
        <v/>
      </c>
      <c r="N178" s="6">
        <v>47523</v>
      </c>
      <c r="O178" s="7">
        <v>67890</v>
      </c>
      <c r="P178" s="8">
        <f>IF(AND(ISNUMBER(N178),ISNUMBER(O178),O178&gt;0),N178/O178,"")</f>
        <v>0.7</v>
      </c>
      <c r="Q178" s="2" t="s">
        <v>370</v>
      </c>
      <c r="R178" s="9" t="s">
        <v>510</v>
      </c>
    </row>
    <row r="179" spans="1:18" x14ac:dyDescent="0.25">
      <c r="A179" s="2" t="s">
        <v>34</v>
      </c>
      <c r="B179" s="2" t="s">
        <v>364</v>
      </c>
      <c r="C179" s="2" t="s">
        <v>388</v>
      </c>
      <c r="D179" s="2" t="s">
        <v>511</v>
      </c>
      <c r="E179" s="2" t="s">
        <v>512</v>
      </c>
      <c r="F179" s="2" t="s">
        <v>39</v>
      </c>
      <c r="G179" s="2" t="s">
        <v>119</v>
      </c>
      <c r="H179" s="2" t="s">
        <v>78</v>
      </c>
      <c r="I179" s="3">
        <v>46296.41666666667</v>
      </c>
      <c r="J179" s="2" t="s">
        <v>42</v>
      </c>
      <c r="K179" s="2" t="s">
        <v>513</v>
      </c>
      <c r="L179" s="4">
        <v>196.44</v>
      </c>
      <c r="M179" s="5">
        <f>IF(AND(ISNUMBER(N179),ISNUMBER(L179),L179&gt;0),ROUND(N179/L179,2),"")</f>
        <v>5495.82</v>
      </c>
      <c r="N179" s="6">
        <v>1079599</v>
      </c>
      <c r="O179" s="7">
        <v>1349498</v>
      </c>
      <c r="P179" s="8">
        <f>IF(AND(ISNUMBER(N179),ISNUMBER(O179),O179&gt;0),N179/O179,"")</f>
        <v>0.8000004446097734</v>
      </c>
      <c r="Q179" s="2" t="s">
        <v>271</v>
      </c>
      <c r="R179" s="9" t="s">
        <v>514</v>
      </c>
    </row>
    <row r="180" spans="1:18" x14ac:dyDescent="0.25">
      <c r="A180" s="2" t="s">
        <v>34</v>
      </c>
      <c r="B180" s="2" t="s">
        <v>364</v>
      </c>
      <c r="C180" s="2" t="s">
        <v>365</v>
      </c>
      <c r="D180" s="2" t="s">
        <v>515</v>
      </c>
      <c r="E180" s="2" t="s">
        <v>367</v>
      </c>
      <c r="F180" s="2" t="s">
        <v>73</v>
      </c>
      <c r="G180" s="2" t="s">
        <v>119</v>
      </c>
      <c r="H180" s="2" t="s">
        <v>48</v>
      </c>
      <c r="I180" s="3">
        <v>46303.41666666667</v>
      </c>
      <c r="J180" s="2" t="s">
        <v>42</v>
      </c>
      <c r="K180" s="2" t="s">
        <v>368</v>
      </c>
      <c r="L180" s="10" t="s">
        <v>369</v>
      </c>
      <c r="M180" s="5" t="str">
        <f>IF(AND(ISNUMBER(N180),ISNUMBER(L180),L180&gt;0),ROUND(N180/L180,2),"")</f>
        <v/>
      </c>
      <c r="N180" s="6">
        <v>47523</v>
      </c>
      <c r="O180" s="7">
        <v>67890</v>
      </c>
      <c r="P180" s="8">
        <f>IF(AND(ISNUMBER(N180),ISNUMBER(O180),O180&gt;0),N180/O180,"")</f>
        <v>0.7</v>
      </c>
      <c r="Q180" s="2" t="s">
        <v>370</v>
      </c>
      <c r="R180" s="9" t="s">
        <v>516</v>
      </c>
    </row>
    <row r="181" spans="1:18" x14ac:dyDescent="0.25">
      <c r="A181" s="2" t="s">
        <v>34</v>
      </c>
      <c r="B181" s="2" t="s">
        <v>364</v>
      </c>
      <c r="C181" s="2" t="s">
        <v>365</v>
      </c>
      <c r="D181" s="2" t="s">
        <v>517</v>
      </c>
      <c r="E181" s="2" t="s">
        <v>367</v>
      </c>
      <c r="F181" s="2" t="s">
        <v>73</v>
      </c>
      <c r="G181" s="2" t="s">
        <v>119</v>
      </c>
      <c r="H181" s="2" t="s">
        <v>48</v>
      </c>
      <c r="I181" s="3">
        <v>46303.41666666667</v>
      </c>
      <c r="J181" s="2" t="s">
        <v>42</v>
      </c>
      <c r="K181" s="2" t="s">
        <v>368</v>
      </c>
      <c r="L181" s="10" t="s">
        <v>369</v>
      </c>
      <c r="M181" s="5" t="str">
        <f>IF(AND(ISNUMBER(N181),ISNUMBER(L181),L181&gt;0),ROUND(N181/L181,2),"")</f>
        <v/>
      </c>
      <c r="N181" s="6">
        <v>47523</v>
      </c>
      <c r="O181" s="7">
        <v>67890</v>
      </c>
      <c r="P181" s="8">
        <f>IF(AND(ISNUMBER(N181),ISNUMBER(O181),O181&gt;0),N181/O181,"")</f>
        <v>0.7</v>
      </c>
      <c r="Q181" s="2" t="s">
        <v>370</v>
      </c>
      <c r="R181" s="9" t="s">
        <v>518</v>
      </c>
    </row>
    <row r="182" spans="1:18" x14ac:dyDescent="0.25">
      <c r="A182" s="2" t="s">
        <v>34</v>
      </c>
      <c r="B182" s="2" t="s">
        <v>364</v>
      </c>
      <c r="C182" s="2" t="s">
        <v>388</v>
      </c>
      <c r="D182" s="2" t="s">
        <v>519</v>
      </c>
      <c r="E182" s="2" t="s">
        <v>520</v>
      </c>
      <c r="F182" s="2" t="s">
        <v>133</v>
      </c>
      <c r="G182" s="2" t="s">
        <v>119</v>
      </c>
      <c r="H182" s="2" t="s">
        <v>41</v>
      </c>
      <c r="I182" s="3">
        <v>46286.41666666667</v>
      </c>
      <c r="J182" s="2" t="s">
        <v>42</v>
      </c>
      <c r="K182" s="2" t="s">
        <v>521</v>
      </c>
      <c r="L182" s="4">
        <v>3054.41</v>
      </c>
      <c r="M182" s="5">
        <f>IF(AND(ISNUMBER(N182),ISNUMBER(L182),L182&gt;0),ROUND(N182/L182,2),"")</f>
        <v>4805.51</v>
      </c>
      <c r="N182" s="6">
        <v>14678000</v>
      </c>
      <c r="O182" s="7">
        <v>26209900</v>
      </c>
      <c r="P182" s="8">
        <f>IF(AND(ISNUMBER(N182),ISNUMBER(O182),O182&gt;0),N182/O182,"")</f>
        <v>0.560017398006097</v>
      </c>
      <c r="Q182" s="9" t="s">
        <v>7</v>
      </c>
      <c r="R182" s="9" t="s">
        <v>522</v>
      </c>
    </row>
    <row r="183" spans="1:18" x14ac:dyDescent="0.25">
      <c r="A183" s="2" t="s">
        <v>34</v>
      </c>
      <c r="B183" s="2" t="s">
        <v>364</v>
      </c>
      <c r="C183" s="2" t="s">
        <v>365</v>
      </c>
      <c r="D183" s="2" t="s">
        <v>523</v>
      </c>
      <c r="E183" s="2" t="s">
        <v>367</v>
      </c>
      <c r="F183" s="2" t="s">
        <v>73</v>
      </c>
      <c r="G183" s="2" t="s">
        <v>119</v>
      </c>
      <c r="H183" s="2" t="s">
        <v>48</v>
      </c>
      <c r="I183" s="3">
        <v>46303.41666666667</v>
      </c>
      <c r="J183" s="2" t="s">
        <v>42</v>
      </c>
      <c r="K183" s="2" t="s">
        <v>368</v>
      </c>
      <c r="L183" s="10" t="s">
        <v>369</v>
      </c>
      <c r="M183" s="5" t="str">
        <f>IF(AND(ISNUMBER(N183),ISNUMBER(L183),L183&gt;0),ROUND(N183/L183,2),"")</f>
        <v/>
      </c>
      <c r="N183" s="6">
        <v>47523</v>
      </c>
      <c r="O183" s="7">
        <v>67890</v>
      </c>
      <c r="P183" s="8">
        <f>IF(AND(ISNUMBER(N183),ISNUMBER(O183),O183&gt;0),N183/O183,"")</f>
        <v>0.7</v>
      </c>
      <c r="Q183" s="2" t="s">
        <v>370</v>
      </c>
      <c r="R183" s="9" t="s">
        <v>524</v>
      </c>
    </row>
    <row r="184" spans="1:18" x14ac:dyDescent="0.25">
      <c r="A184" s="2" t="s">
        <v>34</v>
      </c>
      <c r="B184" s="2" t="s">
        <v>364</v>
      </c>
      <c r="C184" s="2" t="s">
        <v>365</v>
      </c>
      <c r="D184" s="2" t="s">
        <v>525</v>
      </c>
      <c r="E184" s="2" t="s">
        <v>367</v>
      </c>
      <c r="F184" s="2" t="s">
        <v>73</v>
      </c>
      <c r="G184" s="2" t="s">
        <v>119</v>
      </c>
      <c r="H184" s="2" t="s">
        <v>48</v>
      </c>
      <c r="I184" s="3">
        <v>46303.41666666667</v>
      </c>
      <c r="J184" s="2" t="s">
        <v>42</v>
      </c>
      <c r="K184" s="2" t="s">
        <v>368</v>
      </c>
      <c r="L184" s="10" t="s">
        <v>369</v>
      </c>
      <c r="M184" s="5" t="str">
        <f>IF(AND(ISNUMBER(N184),ISNUMBER(L184),L184&gt;0),ROUND(N184/L184,2),"")</f>
        <v/>
      </c>
      <c r="N184" s="6">
        <v>48949</v>
      </c>
      <c r="O184" s="7">
        <v>69927</v>
      </c>
      <c r="P184" s="8">
        <f>IF(AND(ISNUMBER(N184),ISNUMBER(O184),O184&gt;0),N184/O184,"")</f>
        <v>0.7000014300627797</v>
      </c>
      <c r="Q184" s="2" t="s">
        <v>370</v>
      </c>
      <c r="R184" s="9" t="s">
        <v>526</v>
      </c>
    </row>
    <row r="185" spans="1:18" x14ac:dyDescent="0.25">
      <c r="A185" s="2" t="s">
        <v>34</v>
      </c>
      <c r="B185" s="2" t="s">
        <v>35</v>
      </c>
      <c r="C185" s="2" t="s">
        <v>527</v>
      </c>
      <c r="D185" s="2" t="s">
        <v>528</v>
      </c>
      <c r="E185" s="2" t="s">
        <v>61</v>
      </c>
      <c r="F185" s="2" t="s">
        <v>133</v>
      </c>
      <c r="G185" s="2" t="s">
        <v>119</v>
      </c>
      <c r="H185" s="2" t="s">
        <v>41</v>
      </c>
      <c r="I185" s="3">
        <v>46286.41666666667</v>
      </c>
      <c r="J185" s="2" t="s">
        <v>42</v>
      </c>
      <c r="K185" s="2" t="s">
        <v>521</v>
      </c>
      <c r="L185" s="4">
        <v>94436.56</v>
      </c>
      <c r="M185" s="5">
        <f>IF(AND(ISNUMBER(N185),ISNUMBER(L185),L185&gt;0),ROUND(N185/L185,2),"")</f>
        <v>921.11</v>
      </c>
      <c r="N185" s="6">
        <v>86986300</v>
      </c>
      <c r="O185" s="7">
        <v>155332500</v>
      </c>
      <c r="P185" s="8">
        <f>IF(AND(ISNUMBER(N185),ISNUMBER(O185),O185&gt;0),N185/O185,"")</f>
        <v>0.5600006437802778</v>
      </c>
      <c r="Q185" s="2" t="s">
        <v>529</v>
      </c>
      <c r="R185" s="9" t="s">
        <v>530</v>
      </c>
    </row>
    <row r="186" spans="1:18" x14ac:dyDescent="0.25">
      <c r="A186" s="2" t="s">
        <v>34</v>
      </c>
      <c r="B186" s="2" t="s">
        <v>364</v>
      </c>
      <c r="C186" s="2" t="s">
        <v>365</v>
      </c>
      <c r="D186" s="2" t="s">
        <v>531</v>
      </c>
      <c r="E186" s="2" t="s">
        <v>367</v>
      </c>
      <c r="F186" s="2" t="s">
        <v>73</v>
      </c>
      <c r="G186" s="2" t="s">
        <v>119</v>
      </c>
      <c r="H186" s="2" t="s">
        <v>48</v>
      </c>
      <c r="I186" s="3">
        <v>46303.41666666667</v>
      </c>
      <c r="J186" s="2" t="s">
        <v>42</v>
      </c>
      <c r="K186" s="2" t="s">
        <v>368</v>
      </c>
      <c r="L186" s="10" t="s">
        <v>369</v>
      </c>
      <c r="M186" s="5" t="str">
        <f>IF(AND(ISNUMBER(N186),ISNUMBER(L186),L186&gt;0),ROUND(N186/L186,2),"")</f>
        <v/>
      </c>
      <c r="N186" s="6">
        <v>47523</v>
      </c>
      <c r="O186" s="7">
        <v>67890</v>
      </c>
      <c r="P186" s="8">
        <f>IF(AND(ISNUMBER(N186),ISNUMBER(O186),O186&gt;0),N186/O186,"")</f>
        <v>0.7</v>
      </c>
      <c r="Q186" s="2" t="s">
        <v>370</v>
      </c>
      <c r="R186" s="9" t="s">
        <v>532</v>
      </c>
    </row>
    <row r="187" spans="1:18" x14ac:dyDescent="0.25">
      <c r="A187" s="2" t="s">
        <v>34</v>
      </c>
      <c r="B187" s="2" t="s">
        <v>364</v>
      </c>
      <c r="C187" s="2" t="s">
        <v>388</v>
      </c>
      <c r="D187" s="2" t="s">
        <v>533</v>
      </c>
      <c r="E187" s="2" t="s">
        <v>520</v>
      </c>
      <c r="F187" s="2" t="s">
        <v>133</v>
      </c>
      <c r="G187" s="2" t="s">
        <v>119</v>
      </c>
      <c r="H187" s="2" t="s">
        <v>41</v>
      </c>
      <c r="I187" s="3">
        <v>46286.41666666667</v>
      </c>
      <c r="J187" s="2" t="s">
        <v>42</v>
      </c>
      <c r="K187" s="2" t="s">
        <v>521</v>
      </c>
      <c r="L187" s="4">
        <v>16765.86</v>
      </c>
      <c r="M187" s="5">
        <f>IF(AND(ISNUMBER(N187),ISNUMBER(L187),L187&gt;0),ROUND(N187/L187,2),"")</f>
        <v>3916.23</v>
      </c>
      <c r="N187" s="6">
        <v>65658900</v>
      </c>
      <c r="O187" s="7">
        <v>117247900</v>
      </c>
      <c r="P187" s="8">
        <f>IF(AND(ISNUMBER(N187),ISNUMBER(O187),O187&gt;0),N187/O187,"")</f>
        <v>0.5600006481992428</v>
      </c>
      <c r="Q187" s="2" t="s">
        <v>534</v>
      </c>
      <c r="R187" s="9" t="s">
        <v>535</v>
      </c>
    </row>
    <row r="188" spans="1:18" x14ac:dyDescent="0.25">
      <c r="A188" s="2" t="s">
        <v>34</v>
      </c>
      <c r="B188" s="2" t="s">
        <v>364</v>
      </c>
      <c r="C188" s="2" t="s">
        <v>365</v>
      </c>
      <c r="D188" s="2" t="s">
        <v>536</v>
      </c>
      <c r="E188" s="2" t="s">
        <v>367</v>
      </c>
      <c r="F188" s="2" t="s">
        <v>73</v>
      </c>
      <c r="G188" s="2" t="s">
        <v>119</v>
      </c>
      <c r="H188" s="2" t="s">
        <v>48</v>
      </c>
      <c r="I188" s="3">
        <v>46303.41666666667</v>
      </c>
      <c r="J188" s="2" t="s">
        <v>42</v>
      </c>
      <c r="K188" s="2" t="s">
        <v>368</v>
      </c>
      <c r="L188" s="10" t="s">
        <v>369</v>
      </c>
      <c r="M188" s="5" t="str">
        <f>IF(AND(ISNUMBER(N188),ISNUMBER(L188),L188&gt;0),ROUND(N188/L188,2),"")</f>
        <v/>
      </c>
      <c r="N188" s="6">
        <v>47523</v>
      </c>
      <c r="O188" s="7">
        <v>67890</v>
      </c>
      <c r="P188" s="8">
        <f>IF(AND(ISNUMBER(N188),ISNUMBER(O188),O188&gt;0),N188/O188,"")</f>
        <v>0.7</v>
      </c>
      <c r="Q188" s="2" t="s">
        <v>370</v>
      </c>
      <c r="R188" s="9" t="s">
        <v>537</v>
      </c>
    </row>
    <row r="189" spans="1:18" x14ac:dyDescent="0.25">
      <c r="A189" s="2" t="s">
        <v>34</v>
      </c>
      <c r="B189" s="2" t="s">
        <v>364</v>
      </c>
      <c r="C189" s="2" t="s">
        <v>365</v>
      </c>
      <c r="D189" s="2" t="s">
        <v>538</v>
      </c>
      <c r="E189" s="2" t="s">
        <v>367</v>
      </c>
      <c r="F189" s="2" t="s">
        <v>73</v>
      </c>
      <c r="G189" s="2" t="s">
        <v>119</v>
      </c>
      <c r="H189" s="2" t="s">
        <v>48</v>
      </c>
      <c r="I189" s="3">
        <v>46303.41666666667</v>
      </c>
      <c r="J189" s="2" t="s">
        <v>42</v>
      </c>
      <c r="K189" s="2" t="s">
        <v>368</v>
      </c>
      <c r="L189" s="10" t="s">
        <v>369</v>
      </c>
      <c r="M189" s="5" t="str">
        <f>IF(AND(ISNUMBER(N189),ISNUMBER(L189),L189&gt;0),ROUND(N189/L189,2),"")</f>
        <v/>
      </c>
      <c r="N189" s="6">
        <v>47523</v>
      </c>
      <c r="O189" s="7">
        <v>67890</v>
      </c>
      <c r="P189" s="8">
        <f>IF(AND(ISNUMBER(N189),ISNUMBER(O189),O189&gt;0),N189/O189,"")</f>
        <v>0.7</v>
      </c>
      <c r="Q189" s="2" t="s">
        <v>370</v>
      </c>
      <c r="R189" s="9" t="s">
        <v>539</v>
      </c>
    </row>
    <row r="190" spans="1:18" x14ac:dyDescent="0.25">
      <c r="A190" s="2" t="s">
        <v>34</v>
      </c>
      <c r="B190" s="2" t="s">
        <v>364</v>
      </c>
      <c r="C190" s="2" t="s">
        <v>365</v>
      </c>
      <c r="D190" s="2" t="s">
        <v>540</v>
      </c>
      <c r="E190" s="2" t="s">
        <v>367</v>
      </c>
      <c r="F190" s="2" t="s">
        <v>73</v>
      </c>
      <c r="G190" s="2" t="s">
        <v>119</v>
      </c>
      <c r="H190" s="2" t="s">
        <v>48</v>
      </c>
      <c r="I190" s="3">
        <v>46303.41666666667</v>
      </c>
      <c r="J190" s="2" t="s">
        <v>42</v>
      </c>
      <c r="K190" s="2" t="s">
        <v>368</v>
      </c>
      <c r="L190" s="10" t="s">
        <v>369</v>
      </c>
      <c r="M190" s="5" t="str">
        <f>IF(AND(ISNUMBER(N190),ISNUMBER(L190),L190&gt;0),ROUND(N190/L190,2),"")</f>
        <v/>
      </c>
      <c r="N190" s="6">
        <v>47523</v>
      </c>
      <c r="O190" s="7">
        <v>67890</v>
      </c>
      <c r="P190" s="8">
        <f>IF(AND(ISNUMBER(N190),ISNUMBER(O190),O190&gt;0),N190/O190,"")</f>
        <v>0.7</v>
      </c>
      <c r="Q190" s="2" t="s">
        <v>370</v>
      </c>
      <c r="R190" s="9" t="s">
        <v>541</v>
      </c>
    </row>
    <row r="191" spans="1:18" x14ac:dyDescent="0.25">
      <c r="A191" s="2" t="s">
        <v>34</v>
      </c>
      <c r="B191" s="2" t="s">
        <v>364</v>
      </c>
      <c r="C191" s="2" t="s">
        <v>365</v>
      </c>
      <c r="D191" s="2" t="s">
        <v>542</v>
      </c>
      <c r="E191" s="2" t="s">
        <v>367</v>
      </c>
      <c r="F191" s="2" t="s">
        <v>73</v>
      </c>
      <c r="G191" s="2" t="s">
        <v>119</v>
      </c>
      <c r="H191" s="2" t="s">
        <v>48</v>
      </c>
      <c r="I191" s="3">
        <v>46303.41666666667</v>
      </c>
      <c r="J191" s="2" t="s">
        <v>42</v>
      </c>
      <c r="K191" s="2" t="s">
        <v>368</v>
      </c>
      <c r="L191" s="10" t="s">
        <v>369</v>
      </c>
      <c r="M191" s="5" t="str">
        <f>IF(AND(ISNUMBER(N191),ISNUMBER(L191),L191&gt;0),ROUND(N191/L191,2),"")</f>
        <v/>
      </c>
      <c r="N191" s="6">
        <v>47523</v>
      </c>
      <c r="O191" s="7">
        <v>67890</v>
      </c>
      <c r="P191" s="8">
        <f>IF(AND(ISNUMBER(N191),ISNUMBER(O191),O191&gt;0),N191/O191,"")</f>
        <v>0.7</v>
      </c>
      <c r="Q191" s="2" t="s">
        <v>370</v>
      </c>
      <c r="R191" s="9" t="s">
        <v>543</v>
      </c>
    </row>
    <row r="192" spans="1:18" x14ac:dyDescent="0.25">
      <c r="A192" s="2" t="s">
        <v>34</v>
      </c>
      <c r="B192" s="2" t="s">
        <v>364</v>
      </c>
      <c r="C192" s="2" t="s">
        <v>365</v>
      </c>
      <c r="D192" s="2" t="s">
        <v>544</v>
      </c>
      <c r="E192" s="2" t="s">
        <v>367</v>
      </c>
      <c r="F192" s="2" t="s">
        <v>73</v>
      </c>
      <c r="G192" s="2" t="s">
        <v>119</v>
      </c>
      <c r="H192" s="2" t="s">
        <v>48</v>
      </c>
      <c r="I192" s="3">
        <v>46303.41666666667</v>
      </c>
      <c r="J192" s="2" t="s">
        <v>42</v>
      </c>
      <c r="K192" s="2" t="s">
        <v>368</v>
      </c>
      <c r="L192" s="10" t="s">
        <v>369</v>
      </c>
      <c r="M192" s="5" t="str">
        <f>IF(AND(ISNUMBER(N192),ISNUMBER(L192),L192&gt;0),ROUND(N192/L192,2),"")</f>
        <v/>
      </c>
      <c r="N192" s="6">
        <v>48949</v>
      </c>
      <c r="O192" s="7">
        <v>69927</v>
      </c>
      <c r="P192" s="8">
        <f>IF(AND(ISNUMBER(N192),ISNUMBER(O192),O192&gt;0),N192/O192,"")</f>
        <v>0.7000014300627797</v>
      </c>
      <c r="Q192" s="2" t="s">
        <v>370</v>
      </c>
      <c r="R192" s="9" t="s">
        <v>545</v>
      </c>
    </row>
    <row r="193" spans="1:18" x14ac:dyDescent="0.25">
      <c r="A193" s="2" t="s">
        <v>34</v>
      </c>
      <c r="B193" s="2" t="s">
        <v>364</v>
      </c>
      <c r="C193" s="2" t="s">
        <v>399</v>
      </c>
      <c r="D193" s="2" t="s">
        <v>546</v>
      </c>
      <c r="E193" s="2" t="s">
        <v>547</v>
      </c>
      <c r="F193" s="2" t="s">
        <v>39</v>
      </c>
      <c r="G193" s="2" t="s">
        <v>119</v>
      </c>
      <c r="H193" s="2" t="s">
        <v>48</v>
      </c>
      <c r="I193" s="3">
        <v>46300.41666666667</v>
      </c>
      <c r="J193" s="2" t="s">
        <v>42</v>
      </c>
      <c r="K193" s="2" t="s">
        <v>402</v>
      </c>
      <c r="L193" s="4">
        <v>113.55</v>
      </c>
      <c r="M193" s="5">
        <f>IF(AND(ISNUMBER(N193),ISNUMBER(L193),L193&gt;0),ROUND(N193/L193,2),"")</f>
        <v>2940</v>
      </c>
      <c r="N193" s="6">
        <v>333837</v>
      </c>
      <c r="O193" s="7">
        <v>476910</v>
      </c>
      <c r="P193" s="8">
        <f>IF(AND(ISNUMBER(N193),ISNUMBER(O193),O193&gt;0),N193/O193,"")</f>
        <v>0.7</v>
      </c>
      <c r="Q193" s="9" t="s">
        <v>7</v>
      </c>
      <c r="R193" s="9" t="s">
        <v>548</v>
      </c>
    </row>
    <row r="194" spans="1:18" x14ac:dyDescent="0.25">
      <c r="A194" s="2" t="s">
        <v>34</v>
      </c>
      <c r="B194" s="2" t="s">
        <v>364</v>
      </c>
      <c r="C194" s="2" t="s">
        <v>365</v>
      </c>
      <c r="D194" s="2" t="s">
        <v>549</v>
      </c>
      <c r="E194" s="2" t="s">
        <v>367</v>
      </c>
      <c r="F194" s="2" t="s">
        <v>73</v>
      </c>
      <c r="G194" s="2" t="s">
        <v>119</v>
      </c>
      <c r="H194" s="2" t="s">
        <v>48</v>
      </c>
      <c r="I194" s="3">
        <v>46303.41666666667</v>
      </c>
      <c r="J194" s="2" t="s">
        <v>42</v>
      </c>
      <c r="K194" s="2" t="s">
        <v>368</v>
      </c>
      <c r="L194" s="10" t="s">
        <v>369</v>
      </c>
      <c r="M194" s="5" t="str">
        <f>IF(AND(ISNUMBER(N194),ISNUMBER(L194),L194&gt;0),ROUND(N194/L194,2),"")</f>
        <v/>
      </c>
      <c r="N194" s="6">
        <v>47523</v>
      </c>
      <c r="O194" s="7">
        <v>67890</v>
      </c>
      <c r="P194" s="8">
        <f>IF(AND(ISNUMBER(N194),ISNUMBER(O194),O194&gt;0),N194/O194,"")</f>
        <v>0.7</v>
      </c>
      <c r="Q194" s="2" t="s">
        <v>370</v>
      </c>
      <c r="R194" s="9" t="s">
        <v>550</v>
      </c>
    </row>
    <row r="195" spans="1:18" x14ac:dyDescent="0.25">
      <c r="A195" s="2" t="s">
        <v>34</v>
      </c>
      <c r="B195" s="2" t="s">
        <v>364</v>
      </c>
      <c r="C195" s="2" t="s">
        <v>365</v>
      </c>
      <c r="D195" s="2" t="s">
        <v>551</v>
      </c>
      <c r="E195" s="2" t="s">
        <v>367</v>
      </c>
      <c r="F195" s="2" t="s">
        <v>73</v>
      </c>
      <c r="G195" s="2" t="s">
        <v>119</v>
      </c>
      <c r="H195" s="2" t="s">
        <v>48</v>
      </c>
      <c r="I195" s="3">
        <v>46303.41666666667</v>
      </c>
      <c r="J195" s="2" t="s">
        <v>42</v>
      </c>
      <c r="K195" s="2" t="s">
        <v>368</v>
      </c>
      <c r="L195" s="10" t="s">
        <v>369</v>
      </c>
      <c r="M195" s="5" t="str">
        <f>IF(AND(ISNUMBER(N195),ISNUMBER(L195),L195&gt;0),ROUND(N195/L195,2),"")</f>
        <v/>
      </c>
      <c r="N195" s="6">
        <v>47523</v>
      </c>
      <c r="O195" s="7">
        <v>67890</v>
      </c>
      <c r="P195" s="8">
        <f>IF(AND(ISNUMBER(N195),ISNUMBER(O195),O195&gt;0),N195/O195,"")</f>
        <v>0.7</v>
      </c>
      <c r="Q195" s="2" t="s">
        <v>370</v>
      </c>
      <c r="R195" s="9" t="s">
        <v>552</v>
      </c>
    </row>
    <row r="196" spans="1:18" x14ac:dyDescent="0.25">
      <c r="A196" s="2" t="s">
        <v>34</v>
      </c>
      <c r="B196" s="2" t="s">
        <v>364</v>
      </c>
      <c r="C196" s="2" t="s">
        <v>365</v>
      </c>
      <c r="D196" s="2" t="s">
        <v>553</v>
      </c>
      <c r="E196" s="2" t="s">
        <v>367</v>
      </c>
      <c r="F196" s="2" t="s">
        <v>73</v>
      </c>
      <c r="G196" s="2" t="s">
        <v>119</v>
      </c>
      <c r="H196" s="2" t="s">
        <v>48</v>
      </c>
      <c r="I196" s="3">
        <v>46303.41666666667</v>
      </c>
      <c r="J196" s="2" t="s">
        <v>42</v>
      </c>
      <c r="K196" s="2" t="s">
        <v>368</v>
      </c>
      <c r="L196" s="10" t="s">
        <v>369</v>
      </c>
      <c r="M196" s="5" t="str">
        <f>IF(AND(ISNUMBER(N196),ISNUMBER(L196),L196&gt;0),ROUND(N196/L196,2),"")</f>
        <v/>
      </c>
      <c r="N196" s="6">
        <v>47523</v>
      </c>
      <c r="O196" s="7">
        <v>67890</v>
      </c>
      <c r="P196" s="8">
        <f>IF(AND(ISNUMBER(N196),ISNUMBER(O196),O196&gt;0),N196/O196,"")</f>
        <v>0.7</v>
      </c>
      <c r="Q196" s="2" t="s">
        <v>370</v>
      </c>
      <c r="R196" s="9" t="s">
        <v>554</v>
      </c>
    </row>
    <row r="197" spans="1:18" x14ac:dyDescent="0.25">
      <c r="A197" s="2" t="s">
        <v>34</v>
      </c>
      <c r="B197" s="2" t="s">
        <v>364</v>
      </c>
      <c r="C197" s="2" t="s">
        <v>365</v>
      </c>
      <c r="D197" s="2" t="s">
        <v>555</v>
      </c>
      <c r="E197" s="2" t="s">
        <v>367</v>
      </c>
      <c r="F197" s="2" t="s">
        <v>73</v>
      </c>
      <c r="G197" s="2" t="s">
        <v>119</v>
      </c>
      <c r="H197" s="2" t="s">
        <v>48</v>
      </c>
      <c r="I197" s="3">
        <v>46303.41666666667</v>
      </c>
      <c r="J197" s="2" t="s">
        <v>42</v>
      </c>
      <c r="K197" s="2" t="s">
        <v>368</v>
      </c>
      <c r="L197" s="10" t="s">
        <v>369</v>
      </c>
      <c r="M197" s="5" t="str">
        <f>IF(AND(ISNUMBER(N197),ISNUMBER(L197),L197&gt;0),ROUND(N197/L197,2),"")</f>
        <v/>
      </c>
      <c r="N197" s="6">
        <v>48949</v>
      </c>
      <c r="O197" s="7">
        <v>69927</v>
      </c>
      <c r="P197" s="8">
        <f>IF(AND(ISNUMBER(N197),ISNUMBER(O197),O197&gt;0),N197/O197,"")</f>
        <v>0.7000014300627797</v>
      </c>
      <c r="Q197" s="2" t="s">
        <v>370</v>
      </c>
      <c r="R197" s="9" t="s">
        <v>556</v>
      </c>
    </row>
    <row r="198" spans="1:18" x14ac:dyDescent="0.25">
      <c r="A198" s="2" t="s">
        <v>34</v>
      </c>
      <c r="B198" s="2" t="s">
        <v>364</v>
      </c>
      <c r="C198" s="2" t="s">
        <v>365</v>
      </c>
      <c r="D198" s="2" t="s">
        <v>557</v>
      </c>
      <c r="E198" s="2" t="s">
        <v>367</v>
      </c>
      <c r="F198" s="2" t="s">
        <v>73</v>
      </c>
      <c r="G198" s="2" t="s">
        <v>119</v>
      </c>
      <c r="H198" s="2" t="s">
        <v>48</v>
      </c>
      <c r="I198" s="3">
        <v>46303.41666666667</v>
      </c>
      <c r="J198" s="2" t="s">
        <v>42</v>
      </c>
      <c r="K198" s="2" t="s">
        <v>368</v>
      </c>
      <c r="L198" s="10" t="s">
        <v>369</v>
      </c>
      <c r="M198" s="5" t="str">
        <f>IF(AND(ISNUMBER(N198),ISNUMBER(L198),L198&gt;0),ROUND(N198/L198,2),"")</f>
        <v/>
      </c>
      <c r="N198" s="6">
        <v>47523</v>
      </c>
      <c r="O198" s="7">
        <v>67890</v>
      </c>
      <c r="P198" s="8">
        <f>IF(AND(ISNUMBER(N198),ISNUMBER(O198),O198&gt;0),N198/O198,"")</f>
        <v>0.7</v>
      </c>
      <c r="Q198" s="2" t="s">
        <v>370</v>
      </c>
      <c r="R198" s="9" t="s">
        <v>558</v>
      </c>
    </row>
    <row r="199" spans="1:18" x14ac:dyDescent="0.25">
      <c r="A199" s="2" t="s">
        <v>34</v>
      </c>
      <c r="B199" s="2" t="s">
        <v>364</v>
      </c>
      <c r="C199" s="2" t="s">
        <v>365</v>
      </c>
      <c r="D199" s="2" t="s">
        <v>559</v>
      </c>
      <c r="E199" s="2" t="s">
        <v>367</v>
      </c>
      <c r="F199" s="2" t="s">
        <v>73</v>
      </c>
      <c r="G199" s="2" t="s">
        <v>119</v>
      </c>
      <c r="H199" s="2" t="s">
        <v>48</v>
      </c>
      <c r="I199" s="3">
        <v>46303.41666666667</v>
      </c>
      <c r="J199" s="2" t="s">
        <v>42</v>
      </c>
      <c r="K199" s="2" t="s">
        <v>368</v>
      </c>
      <c r="L199" s="10" t="s">
        <v>369</v>
      </c>
      <c r="M199" s="5" t="str">
        <f>IF(AND(ISNUMBER(N199),ISNUMBER(L199),L199&gt;0),ROUND(N199/L199,2),"")</f>
        <v/>
      </c>
      <c r="N199" s="6">
        <v>47523</v>
      </c>
      <c r="O199" s="7">
        <v>67890</v>
      </c>
      <c r="P199" s="8">
        <f>IF(AND(ISNUMBER(N199),ISNUMBER(O199),O199&gt;0),N199/O199,"")</f>
        <v>0.7</v>
      </c>
      <c r="Q199" s="2" t="s">
        <v>370</v>
      </c>
      <c r="R199" s="9" t="s">
        <v>560</v>
      </c>
    </row>
    <row r="200" spans="1:18" x14ac:dyDescent="0.25">
      <c r="A200" s="2" t="s">
        <v>34</v>
      </c>
      <c r="B200" s="2" t="s">
        <v>364</v>
      </c>
      <c r="C200" s="2" t="s">
        <v>365</v>
      </c>
      <c r="D200" s="2" t="s">
        <v>561</v>
      </c>
      <c r="E200" s="2" t="s">
        <v>367</v>
      </c>
      <c r="F200" s="2" t="s">
        <v>73</v>
      </c>
      <c r="G200" s="2" t="s">
        <v>119</v>
      </c>
      <c r="H200" s="2" t="s">
        <v>48</v>
      </c>
      <c r="I200" s="3">
        <v>46303.41666666667</v>
      </c>
      <c r="J200" s="2" t="s">
        <v>42</v>
      </c>
      <c r="K200" s="2" t="s">
        <v>368</v>
      </c>
      <c r="L200" s="10" t="s">
        <v>369</v>
      </c>
      <c r="M200" s="5" t="str">
        <f>IF(AND(ISNUMBER(N200),ISNUMBER(L200),L200&gt;0),ROUND(N200/L200,2),"")</f>
        <v/>
      </c>
      <c r="N200" s="6">
        <v>47523</v>
      </c>
      <c r="O200" s="7">
        <v>67890</v>
      </c>
      <c r="P200" s="8">
        <f>IF(AND(ISNUMBER(N200),ISNUMBER(O200),O200&gt;0),N200/O200,"")</f>
        <v>0.7</v>
      </c>
      <c r="Q200" s="2" t="s">
        <v>370</v>
      </c>
      <c r="R200" s="9" t="s">
        <v>562</v>
      </c>
    </row>
    <row r="201" spans="1:18" x14ac:dyDescent="0.25">
      <c r="A201" s="2" t="s">
        <v>34</v>
      </c>
      <c r="B201" s="2" t="s">
        <v>364</v>
      </c>
      <c r="C201" s="2" t="s">
        <v>365</v>
      </c>
      <c r="D201" s="2" t="s">
        <v>563</v>
      </c>
      <c r="E201" s="2" t="s">
        <v>367</v>
      </c>
      <c r="F201" s="2" t="s">
        <v>73</v>
      </c>
      <c r="G201" s="2" t="s">
        <v>119</v>
      </c>
      <c r="H201" s="2" t="s">
        <v>48</v>
      </c>
      <c r="I201" s="3">
        <v>46303.41666666667</v>
      </c>
      <c r="J201" s="2" t="s">
        <v>42</v>
      </c>
      <c r="K201" s="2" t="s">
        <v>368</v>
      </c>
      <c r="L201" s="10" t="s">
        <v>369</v>
      </c>
      <c r="M201" s="5" t="str">
        <f>IF(AND(ISNUMBER(N201),ISNUMBER(L201),L201&gt;0),ROUND(N201/L201,2),"")</f>
        <v/>
      </c>
      <c r="N201" s="6">
        <v>47523</v>
      </c>
      <c r="O201" s="7">
        <v>67890</v>
      </c>
      <c r="P201" s="8">
        <f>IF(AND(ISNUMBER(N201),ISNUMBER(O201),O201&gt;0),N201/O201,"")</f>
        <v>0.7</v>
      </c>
      <c r="Q201" s="2" t="s">
        <v>370</v>
      </c>
      <c r="R201" s="9" t="s">
        <v>564</v>
      </c>
    </row>
    <row r="202" spans="1:18" x14ac:dyDescent="0.25">
      <c r="A202" s="2" t="s">
        <v>34</v>
      </c>
      <c r="B202" s="2" t="s">
        <v>364</v>
      </c>
      <c r="C202" s="2" t="s">
        <v>365</v>
      </c>
      <c r="D202" s="2" t="s">
        <v>565</v>
      </c>
      <c r="E202" s="2" t="s">
        <v>367</v>
      </c>
      <c r="F202" s="2" t="s">
        <v>73</v>
      </c>
      <c r="G202" s="2" t="s">
        <v>119</v>
      </c>
      <c r="H202" s="2" t="s">
        <v>48</v>
      </c>
      <c r="I202" s="3">
        <v>46303.41666666667</v>
      </c>
      <c r="J202" s="2" t="s">
        <v>42</v>
      </c>
      <c r="K202" s="2" t="s">
        <v>368</v>
      </c>
      <c r="L202" s="10" t="s">
        <v>369</v>
      </c>
      <c r="M202" s="5" t="str">
        <f>IF(AND(ISNUMBER(N202),ISNUMBER(L202),L202&gt;0),ROUND(N202/L202,2),"")</f>
        <v/>
      </c>
      <c r="N202" s="6">
        <v>47523</v>
      </c>
      <c r="O202" s="7">
        <v>67890</v>
      </c>
      <c r="P202" s="8">
        <f>IF(AND(ISNUMBER(N202),ISNUMBER(O202),O202&gt;0),N202/O202,"")</f>
        <v>0.7</v>
      </c>
      <c r="Q202" s="2" t="s">
        <v>370</v>
      </c>
      <c r="R202" s="9" t="s">
        <v>566</v>
      </c>
    </row>
    <row r="203" spans="1:18" x14ac:dyDescent="0.25">
      <c r="A203" s="2" t="s">
        <v>34</v>
      </c>
      <c r="B203" s="2" t="s">
        <v>364</v>
      </c>
      <c r="C203" s="2" t="s">
        <v>365</v>
      </c>
      <c r="D203" s="2" t="s">
        <v>567</v>
      </c>
      <c r="E203" s="2" t="s">
        <v>367</v>
      </c>
      <c r="F203" s="2" t="s">
        <v>73</v>
      </c>
      <c r="G203" s="2" t="s">
        <v>119</v>
      </c>
      <c r="H203" s="2" t="s">
        <v>48</v>
      </c>
      <c r="I203" s="3">
        <v>46303.41666666667</v>
      </c>
      <c r="J203" s="2" t="s">
        <v>42</v>
      </c>
      <c r="K203" s="2" t="s">
        <v>368</v>
      </c>
      <c r="L203" s="10" t="s">
        <v>369</v>
      </c>
      <c r="M203" s="5" t="str">
        <f>IF(AND(ISNUMBER(N203),ISNUMBER(L203),L203&gt;0),ROUND(N203/L203,2),"")</f>
        <v/>
      </c>
      <c r="N203" s="6">
        <v>47523</v>
      </c>
      <c r="O203" s="7">
        <v>67890</v>
      </c>
      <c r="P203" s="8">
        <f>IF(AND(ISNUMBER(N203),ISNUMBER(O203),O203&gt;0),N203/O203,"")</f>
        <v>0.7</v>
      </c>
      <c r="Q203" s="2" t="s">
        <v>370</v>
      </c>
      <c r="R203" s="9" t="s">
        <v>568</v>
      </c>
    </row>
    <row r="204" spans="1:18" x14ac:dyDescent="0.25">
      <c r="A204" s="2" t="s">
        <v>34</v>
      </c>
      <c r="B204" s="2" t="s">
        <v>364</v>
      </c>
      <c r="C204" s="2" t="s">
        <v>365</v>
      </c>
      <c r="D204" s="2" t="s">
        <v>569</v>
      </c>
      <c r="E204" s="2" t="s">
        <v>367</v>
      </c>
      <c r="F204" s="2" t="s">
        <v>73</v>
      </c>
      <c r="G204" s="2" t="s">
        <v>119</v>
      </c>
      <c r="H204" s="2" t="s">
        <v>48</v>
      </c>
      <c r="I204" s="3">
        <v>46303.41666666667</v>
      </c>
      <c r="J204" s="2" t="s">
        <v>42</v>
      </c>
      <c r="K204" s="2" t="s">
        <v>368</v>
      </c>
      <c r="L204" s="10" t="s">
        <v>369</v>
      </c>
      <c r="M204" s="5" t="str">
        <f>IF(AND(ISNUMBER(N204),ISNUMBER(L204),L204&gt;0),ROUND(N204/L204,2),"")</f>
        <v/>
      </c>
      <c r="N204" s="6">
        <v>47523</v>
      </c>
      <c r="O204" s="7">
        <v>67890</v>
      </c>
      <c r="P204" s="8">
        <f>IF(AND(ISNUMBER(N204),ISNUMBER(O204),O204&gt;0),N204/O204,"")</f>
        <v>0.7</v>
      </c>
      <c r="Q204" s="2" t="s">
        <v>370</v>
      </c>
      <c r="R204" s="9" t="s">
        <v>570</v>
      </c>
    </row>
    <row r="205" spans="1:18" x14ac:dyDescent="0.25">
      <c r="A205" s="2" t="s">
        <v>34</v>
      </c>
      <c r="B205" s="2" t="s">
        <v>364</v>
      </c>
      <c r="C205" s="2" t="s">
        <v>365</v>
      </c>
      <c r="D205" s="2" t="s">
        <v>571</v>
      </c>
      <c r="E205" s="2" t="s">
        <v>367</v>
      </c>
      <c r="F205" s="2" t="s">
        <v>73</v>
      </c>
      <c r="G205" s="2" t="s">
        <v>119</v>
      </c>
      <c r="H205" s="2" t="s">
        <v>48</v>
      </c>
      <c r="I205" s="3">
        <v>46303.41666666667</v>
      </c>
      <c r="J205" s="2" t="s">
        <v>42</v>
      </c>
      <c r="K205" s="2" t="s">
        <v>368</v>
      </c>
      <c r="L205" s="10" t="s">
        <v>369</v>
      </c>
      <c r="M205" s="5" t="str">
        <f>IF(AND(ISNUMBER(N205),ISNUMBER(L205),L205&gt;0),ROUND(N205/L205,2),"")</f>
        <v/>
      </c>
      <c r="N205" s="6">
        <v>47523</v>
      </c>
      <c r="O205" s="7">
        <v>67890</v>
      </c>
      <c r="P205" s="8">
        <f>IF(AND(ISNUMBER(N205),ISNUMBER(O205),O205&gt;0),N205/O205,"")</f>
        <v>0.7</v>
      </c>
      <c r="Q205" s="2" t="s">
        <v>370</v>
      </c>
      <c r="R205" s="9" t="s">
        <v>572</v>
      </c>
    </row>
    <row r="206" spans="1:18" x14ac:dyDescent="0.25">
      <c r="A206" s="2" t="s">
        <v>34</v>
      </c>
      <c r="B206" s="2" t="s">
        <v>364</v>
      </c>
      <c r="C206" s="2" t="s">
        <v>365</v>
      </c>
      <c r="D206" s="2" t="s">
        <v>573</v>
      </c>
      <c r="E206" s="2" t="s">
        <v>367</v>
      </c>
      <c r="F206" s="2" t="s">
        <v>73</v>
      </c>
      <c r="G206" s="2" t="s">
        <v>119</v>
      </c>
      <c r="H206" s="2" t="s">
        <v>48</v>
      </c>
      <c r="I206" s="3">
        <v>46303.41666666667</v>
      </c>
      <c r="J206" s="2" t="s">
        <v>42</v>
      </c>
      <c r="K206" s="2" t="s">
        <v>368</v>
      </c>
      <c r="L206" s="10" t="s">
        <v>369</v>
      </c>
      <c r="M206" s="5" t="str">
        <f>IF(AND(ISNUMBER(N206),ISNUMBER(L206),L206&gt;0),ROUND(N206/L206,2),"")</f>
        <v/>
      </c>
      <c r="N206" s="6">
        <v>47523</v>
      </c>
      <c r="O206" s="7">
        <v>67890</v>
      </c>
      <c r="P206" s="8">
        <f>IF(AND(ISNUMBER(N206),ISNUMBER(O206),O206&gt;0),N206/O206,"")</f>
        <v>0.7</v>
      </c>
      <c r="Q206" s="2" t="s">
        <v>370</v>
      </c>
      <c r="R206" s="9" t="s">
        <v>574</v>
      </c>
    </row>
    <row r="207" spans="1:18" x14ac:dyDescent="0.25">
      <c r="A207" s="2" t="s">
        <v>34</v>
      </c>
      <c r="B207" s="2" t="s">
        <v>364</v>
      </c>
      <c r="C207" s="2" t="s">
        <v>365</v>
      </c>
      <c r="D207" s="2" t="s">
        <v>575</v>
      </c>
      <c r="E207" s="2" t="s">
        <v>367</v>
      </c>
      <c r="F207" s="2" t="s">
        <v>73</v>
      </c>
      <c r="G207" s="2" t="s">
        <v>119</v>
      </c>
      <c r="H207" s="2" t="s">
        <v>48</v>
      </c>
      <c r="I207" s="3">
        <v>46303.41666666667</v>
      </c>
      <c r="J207" s="2" t="s">
        <v>42</v>
      </c>
      <c r="K207" s="2" t="s">
        <v>368</v>
      </c>
      <c r="L207" s="10" t="s">
        <v>369</v>
      </c>
      <c r="M207" s="5" t="str">
        <f>IF(AND(ISNUMBER(N207),ISNUMBER(L207),L207&gt;0),ROUND(N207/L207,2),"")</f>
        <v/>
      </c>
      <c r="N207" s="6">
        <v>47523</v>
      </c>
      <c r="O207" s="7">
        <v>67890</v>
      </c>
      <c r="P207" s="8">
        <f>IF(AND(ISNUMBER(N207),ISNUMBER(O207),O207&gt;0),N207/O207,"")</f>
        <v>0.7</v>
      </c>
      <c r="Q207" s="2" t="s">
        <v>370</v>
      </c>
      <c r="R207" s="9" t="s">
        <v>576</v>
      </c>
    </row>
    <row r="208" spans="1:18" x14ac:dyDescent="0.25">
      <c r="A208" s="2" t="s">
        <v>34</v>
      </c>
      <c r="B208" s="2" t="s">
        <v>364</v>
      </c>
      <c r="C208" s="2" t="s">
        <v>365</v>
      </c>
      <c r="D208" s="2" t="s">
        <v>577</v>
      </c>
      <c r="E208" s="2" t="s">
        <v>367</v>
      </c>
      <c r="F208" s="2" t="s">
        <v>73</v>
      </c>
      <c r="G208" s="2" t="s">
        <v>119</v>
      </c>
      <c r="H208" s="2" t="s">
        <v>48</v>
      </c>
      <c r="I208" s="3">
        <v>46303.41666666667</v>
      </c>
      <c r="J208" s="2" t="s">
        <v>42</v>
      </c>
      <c r="K208" s="2" t="s">
        <v>368</v>
      </c>
      <c r="L208" s="10" t="s">
        <v>369</v>
      </c>
      <c r="M208" s="5" t="str">
        <f>IF(AND(ISNUMBER(N208),ISNUMBER(L208),L208&gt;0),ROUND(N208/L208,2),"")</f>
        <v/>
      </c>
      <c r="N208" s="6">
        <v>48949</v>
      </c>
      <c r="O208" s="7">
        <v>69927</v>
      </c>
      <c r="P208" s="8">
        <f>IF(AND(ISNUMBER(N208),ISNUMBER(O208),O208&gt;0),N208/O208,"")</f>
        <v>0.7000014300627797</v>
      </c>
      <c r="Q208" s="2" t="s">
        <v>370</v>
      </c>
      <c r="R208" s="9" t="s">
        <v>578</v>
      </c>
    </row>
    <row r="209" spans="1:18" x14ac:dyDescent="0.25">
      <c r="A209" s="2" t="s">
        <v>34</v>
      </c>
      <c r="B209" s="2" t="s">
        <v>364</v>
      </c>
      <c r="C209" s="2" t="s">
        <v>365</v>
      </c>
      <c r="D209" s="2" t="s">
        <v>579</v>
      </c>
      <c r="E209" s="2" t="s">
        <v>367</v>
      </c>
      <c r="F209" s="2" t="s">
        <v>73</v>
      </c>
      <c r="G209" s="2" t="s">
        <v>119</v>
      </c>
      <c r="H209" s="2" t="s">
        <v>48</v>
      </c>
      <c r="I209" s="3">
        <v>46303.41666666667</v>
      </c>
      <c r="J209" s="2" t="s">
        <v>42</v>
      </c>
      <c r="K209" s="2" t="s">
        <v>368</v>
      </c>
      <c r="L209" s="10" t="s">
        <v>369</v>
      </c>
      <c r="M209" s="5" t="str">
        <f>IF(AND(ISNUMBER(N209),ISNUMBER(L209),L209&gt;0),ROUND(N209/L209,2),"")</f>
        <v/>
      </c>
      <c r="N209" s="6">
        <v>48949</v>
      </c>
      <c r="O209" s="7">
        <v>69927</v>
      </c>
      <c r="P209" s="8">
        <f>IF(AND(ISNUMBER(N209),ISNUMBER(O209),O209&gt;0),N209/O209,"")</f>
        <v>0.7000014300627797</v>
      </c>
      <c r="Q209" s="2" t="s">
        <v>370</v>
      </c>
      <c r="R209" s="9" t="s">
        <v>580</v>
      </c>
    </row>
    <row r="210" spans="1:18" x14ac:dyDescent="0.25">
      <c r="A210" s="2" t="s">
        <v>34</v>
      </c>
      <c r="B210" s="2" t="s">
        <v>364</v>
      </c>
      <c r="C210" s="2" t="s">
        <v>365</v>
      </c>
      <c r="D210" s="2" t="s">
        <v>581</v>
      </c>
      <c r="E210" s="2" t="s">
        <v>367</v>
      </c>
      <c r="F210" s="2" t="s">
        <v>73</v>
      </c>
      <c r="G210" s="2" t="s">
        <v>119</v>
      </c>
      <c r="H210" s="2" t="s">
        <v>48</v>
      </c>
      <c r="I210" s="3">
        <v>46303.41666666667</v>
      </c>
      <c r="J210" s="2" t="s">
        <v>42</v>
      </c>
      <c r="K210" s="2" t="s">
        <v>368</v>
      </c>
      <c r="L210" s="10" t="s">
        <v>369</v>
      </c>
      <c r="M210" s="5" t="str">
        <f>IF(AND(ISNUMBER(N210),ISNUMBER(L210),L210&gt;0),ROUND(N210/L210,2),"")</f>
        <v/>
      </c>
      <c r="N210" s="6">
        <v>48949</v>
      </c>
      <c r="O210" s="7">
        <v>69927</v>
      </c>
      <c r="P210" s="8">
        <f>IF(AND(ISNUMBER(N210),ISNUMBER(O210),O210&gt;0),N210/O210,"")</f>
        <v>0.7000014300627797</v>
      </c>
      <c r="Q210" s="2" t="s">
        <v>370</v>
      </c>
      <c r="R210" s="9" t="s">
        <v>582</v>
      </c>
    </row>
    <row r="211" spans="1:18" x14ac:dyDescent="0.25">
      <c r="A211" s="2" t="s">
        <v>34</v>
      </c>
      <c r="B211" s="2" t="s">
        <v>364</v>
      </c>
      <c r="C211" s="2" t="s">
        <v>365</v>
      </c>
      <c r="D211" s="2" t="s">
        <v>583</v>
      </c>
      <c r="E211" s="2" t="s">
        <v>367</v>
      </c>
      <c r="F211" s="2" t="s">
        <v>73</v>
      </c>
      <c r="G211" s="2" t="s">
        <v>119</v>
      </c>
      <c r="H211" s="2" t="s">
        <v>48</v>
      </c>
      <c r="I211" s="3">
        <v>46303.41666666667</v>
      </c>
      <c r="J211" s="2" t="s">
        <v>42</v>
      </c>
      <c r="K211" s="2" t="s">
        <v>368</v>
      </c>
      <c r="L211" s="10" t="s">
        <v>369</v>
      </c>
      <c r="M211" s="5" t="str">
        <f>IF(AND(ISNUMBER(N211),ISNUMBER(L211),L211&gt;0),ROUND(N211/L211,2),"")</f>
        <v/>
      </c>
      <c r="N211" s="6">
        <v>48949</v>
      </c>
      <c r="O211" s="7">
        <v>69927</v>
      </c>
      <c r="P211" s="8">
        <f>IF(AND(ISNUMBER(N211),ISNUMBER(O211),O211&gt;0),N211/O211,"")</f>
        <v>0.7000014300627797</v>
      </c>
      <c r="Q211" s="2" t="s">
        <v>370</v>
      </c>
      <c r="R211" s="9" t="s">
        <v>584</v>
      </c>
    </row>
    <row r="212" spans="1:18" x14ac:dyDescent="0.25">
      <c r="A212" s="2" t="s">
        <v>34</v>
      </c>
      <c r="B212" s="2" t="s">
        <v>364</v>
      </c>
      <c r="C212" s="2" t="s">
        <v>585</v>
      </c>
      <c r="D212" s="2" t="s">
        <v>586</v>
      </c>
      <c r="E212" s="2" t="s">
        <v>587</v>
      </c>
      <c r="F212" s="2" t="s">
        <v>73</v>
      </c>
      <c r="G212" s="2" t="s">
        <v>119</v>
      </c>
      <c r="H212" s="2" t="s">
        <v>48</v>
      </c>
      <c r="I212" s="3">
        <v>46300.41666666667</v>
      </c>
      <c r="J212" s="2" t="s">
        <v>42</v>
      </c>
      <c r="K212" s="2" t="s">
        <v>391</v>
      </c>
      <c r="L212" s="4">
        <v>13.75</v>
      </c>
      <c r="M212" s="5">
        <f>IF(AND(ISNUMBER(N212),ISNUMBER(L212),L212&gt;0),ROUND(N212/L212,2),"")</f>
        <v>20872.73</v>
      </c>
      <c r="N212" s="6">
        <v>287000</v>
      </c>
      <c r="O212" s="7">
        <v>357900</v>
      </c>
      <c r="P212" s="8">
        <f>IF(AND(ISNUMBER(N212),ISNUMBER(O212),O212&gt;0),N212/O212,"")</f>
        <v>0.8018999720592345</v>
      </c>
      <c r="Q212" s="9" t="s">
        <v>7</v>
      </c>
      <c r="R212" s="9" t="s">
        <v>588</v>
      </c>
    </row>
    <row r="213" spans="1:18" x14ac:dyDescent="0.25">
      <c r="A213" s="2" t="s">
        <v>34</v>
      </c>
      <c r="B213" s="2" t="s">
        <v>364</v>
      </c>
      <c r="C213" s="2" t="s">
        <v>585</v>
      </c>
      <c r="D213" s="2" t="s">
        <v>589</v>
      </c>
      <c r="E213" s="2" t="s">
        <v>590</v>
      </c>
      <c r="F213" s="2" t="s">
        <v>133</v>
      </c>
      <c r="G213" s="2" t="s">
        <v>119</v>
      </c>
      <c r="H213" s="2" t="s">
        <v>48</v>
      </c>
      <c r="I213" s="3">
        <v>46300.41666666667</v>
      </c>
      <c r="J213" s="2" t="s">
        <v>42</v>
      </c>
      <c r="K213" s="2" t="s">
        <v>391</v>
      </c>
      <c r="L213" s="4">
        <v>235.8</v>
      </c>
      <c r="M213" s="5">
        <f>IF(AND(ISNUMBER(N213),ISNUMBER(L213),L213&gt;0),ROUND(N213/L213,2),"")</f>
        <v>14927.91</v>
      </c>
      <c r="N213" s="6">
        <v>3520000</v>
      </c>
      <c r="O213" s="7">
        <v>4395010</v>
      </c>
      <c r="P213" s="8">
        <f>IF(AND(ISNUMBER(N213),ISNUMBER(O213),O213&gt;0),N213/O213,"")</f>
        <v>0.8009083028252495</v>
      </c>
      <c r="Q213" s="9" t="s">
        <v>7</v>
      </c>
      <c r="R213" s="9" t="s">
        <v>591</v>
      </c>
    </row>
    <row r="214" spans="1:18" x14ac:dyDescent="0.25">
      <c r="A214" s="2" t="s">
        <v>34</v>
      </c>
      <c r="B214" s="2" t="s">
        <v>364</v>
      </c>
      <c r="C214" s="2" t="s">
        <v>592</v>
      </c>
      <c r="D214" s="2" t="s">
        <v>593</v>
      </c>
      <c r="E214" s="2" t="s">
        <v>594</v>
      </c>
      <c r="F214" s="2" t="s">
        <v>39</v>
      </c>
      <c r="G214" s="2" t="s">
        <v>119</v>
      </c>
      <c r="H214" s="2" t="s">
        <v>48</v>
      </c>
      <c r="I214" s="3">
        <v>46300.41666666667</v>
      </c>
      <c r="J214" s="2" t="s">
        <v>42</v>
      </c>
      <c r="K214" s="2" t="s">
        <v>391</v>
      </c>
      <c r="L214" s="4">
        <v>88.37</v>
      </c>
      <c r="M214" s="5">
        <f>IF(AND(ISNUMBER(N214),ISNUMBER(L214),L214&gt;0),ROUND(N214/L214,2),"")</f>
        <v>5216.7</v>
      </c>
      <c r="N214" s="6">
        <v>461000</v>
      </c>
      <c r="O214" s="7">
        <v>575139.47</v>
      </c>
      <c r="P214" s="8">
        <f>IF(AND(ISNUMBER(N214),ISNUMBER(O214),O214&gt;0),N214/O214,"")</f>
        <v>0.8015447105377762</v>
      </c>
      <c r="Q214" s="2" t="s">
        <v>130</v>
      </c>
      <c r="R214" s="9" t="s">
        <v>595</v>
      </c>
    </row>
    <row r="215" spans="1:18" x14ac:dyDescent="0.25">
      <c r="A215" s="2" t="s">
        <v>34</v>
      </c>
      <c r="B215" s="2" t="s">
        <v>364</v>
      </c>
      <c r="C215" s="2" t="s">
        <v>585</v>
      </c>
      <c r="D215" s="2" t="s">
        <v>596</v>
      </c>
      <c r="E215" s="2" t="s">
        <v>597</v>
      </c>
      <c r="F215" s="2" t="s">
        <v>39</v>
      </c>
      <c r="G215" s="2" t="s">
        <v>119</v>
      </c>
      <c r="H215" s="2" t="s">
        <v>48</v>
      </c>
      <c r="I215" s="3">
        <v>46300.41666666667</v>
      </c>
      <c r="J215" s="2" t="s">
        <v>42</v>
      </c>
      <c r="K215" s="2" t="s">
        <v>391</v>
      </c>
      <c r="L215" s="4">
        <v>24.11</v>
      </c>
      <c r="M215" s="5">
        <f>IF(AND(ISNUMBER(N215),ISNUMBER(L215),L215&gt;0),ROUND(N215/L215,2),"")</f>
        <v>12069.68</v>
      </c>
      <c r="N215" s="6">
        <v>291000</v>
      </c>
      <c r="O215" s="7">
        <v>363700</v>
      </c>
      <c r="P215" s="8">
        <f>IF(AND(ISNUMBER(N215),ISNUMBER(O215),O215&gt;0),N215/O215,"")</f>
        <v>0.8001099807533681</v>
      </c>
      <c r="Q215" s="9" t="s">
        <v>7</v>
      </c>
      <c r="R215" s="9" t="s">
        <v>598</v>
      </c>
    </row>
    <row r="216" spans="1:18" x14ac:dyDescent="0.25">
      <c r="A216" s="2" t="s">
        <v>34</v>
      </c>
      <c r="B216" s="2" t="s">
        <v>364</v>
      </c>
      <c r="C216" s="2" t="s">
        <v>585</v>
      </c>
      <c r="D216" s="2" t="s">
        <v>599</v>
      </c>
      <c r="E216" s="2" t="s">
        <v>600</v>
      </c>
      <c r="F216" s="2" t="s">
        <v>39</v>
      </c>
      <c r="G216" s="2" t="s">
        <v>119</v>
      </c>
      <c r="H216" s="2" t="s">
        <v>48</v>
      </c>
      <c r="I216" s="3">
        <v>46300.41666666667</v>
      </c>
      <c r="J216" s="2" t="s">
        <v>42</v>
      </c>
      <c r="K216" s="2" t="s">
        <v>391</v>
      </c>
      <c r="L216" s="4">
        <v>140.63</v>
      </c>
      <c r="M216" s="5">
        <f>IF(AND(ISNUMBER(N216),ISNUMBER(L216),L216&gt;0),ROUND(N216/L216,2),"")</f>
        <v>6968.64</v>
      </c>
      <c r="N216" s="6">
        <v>980000</v>
      </c>
      <c r="O216" s="7">
        <v>1221300</v>
      </c>
      <c r="P216" s="8">
        <f>IF(AND(ISNUMBER(N216),ISNUMBER(O216),O216&gt;0),N216/O216,"")</f>
        <v>0.8024236469335954</v>
      </c>
      <c r="Q216" s="9" t="s">
        <v>7</v>
      </c>
      <c r="R216" s="9" t="s">
        <v>601</v>
      </c>
    </row>
    <row r="217" spans="1:18" x14ac:dyDescent="0.25">
      <c r="A217" s="2" t="s">
        <v>34</v>
      </c>
      <c r="B217" s="2" t="s">
        <v>364</v>
      </c>
      <c r="C217" s="2" t="s">
        <v>365</v>
      </c>
      <c r="D217" s="2" t="s">
        <v>602</v>
      </c>
      <c r="E217" s="2" t="s">
        <v>367</v>
      </c>
      <c r="F217" s="2" t="s">
        <v>73</v>
      </c>
      <c r="G217" s="2" t="s">
        <v>119</v>
      </c>
      <c r="H217" s="2" t="s">
        <v>48</v>
      </c>
      <c r="I217" s="3">
        <v>46303.41666666667</v>
      </c>
      <c r="J217" s="2" t="s">
        <v>42</v>
      </c>
      <c r="K217" s="2" t="s">
        <v>368</v>
      </c>
      <c r="L217" s="10" t="s">
        <v>369</v>
      </c>
      <c r="M217" s="5" t="str">
        <f>IF(AND(ISNUMBER(N217),ISNUMBER(L217),L217&gt;0),ROUND(N217/L217,2),"")</f>
        <v/>
      </c>
      <c r="N217" s="6">
        <v>48949</v>
      </c>
      <c r="O217" s="7">
        <v>69927</v>
      </c>
      <c r="P217" s="8">
        <f>IF(AND(ISNUMBER(N217),ISNUMBER(O217),O217&gt;0),N217/O217,"")</f>
        <v>0.7000014300627797</v>
      </c>
      <c r="Q217" s="2" t="s">
        <v>370</v>
      </c>
      <c r="R217" s="9" t="s">
        <v>603</v>
      </c>
    </row>
    <row r="218" spans="1:18" x14ac:dyDescent="0.25">
      <c r="A218" s="2" t="s">
        <v>34</v>
      </c>
      <c r="B218" s="2" t="s">
        <v>364</v>
      </c>
      <c r="C218" s="2" t="s">
        <v>365</v>
      </c>
      <c r="D218" s="2" t="s">
        <v>604</v>
      </c>
      <c r="E218" s="2" t="s">
        <v>367</v>
      </c>
      <c r="F218" s="2" t="s">
        <v>73</v>
      </c>
      <c r="G218" s="2" t="s">
        <v>119</v>
      </c>
      <c r="H218" s="2" t="s">
        <v>48</v>
      </c>
      <c r="I218" s="3">
        <v>46303.41666666667</v>
      </c>
      <c r="J218" s="2" t="s">
        <v>42</v>
      </c>
      <c r="K218" s="2" t="s">
        <v>368</v>
      </c>
      <c r="L218" s="10" t="s">
        <v>369</v>
      </c>
      <c r="M218" s="5" t="str">
        <f>IF(AND(ISNUMBER(N218),ISNUMBER(L218),L218&gt;0),ROUND(N218/L218,2),"")</f>
        <v/>
      </c>
      <c r="N218" s="6">
        <v>47523</v>
      </c>
      <c r="O218" s="7">
        <v>67890</v>
      </c>
      <c r="P218" s="8">
        <f>IF(AND(ISNUMBER(N218),ISNUMBER(O218),O218&gt;0),N218/O218,"")</f>
        <v>0.7</v>
      </c>
      <c r="Q218" s="2" t="s">
        <v>370</v>
      </c>
      <c r="R218" s="9" t="s">
        <v>605</v>
      </c>
    </row>
    <row r="219" spans="1:18" x14ac:dyDescent="0.25">
      <c r="A219" s="2" t="s">
        <v>34</v>
      </c>
      <c r="B219" s="2" t="s">
        <v>364</v>
      </c>
      <c r="C219" s="2" t="s">
        <v>365</v>
      </c>
      <c r="D219" s="2" t="s">
        <v>606</v>
      </c>
      <c r="E219" s="2" t="s">
        <v>367</v>
      </c>
      <c r="F219" s="2" t="s">
        <v>73</v>
      </c>
      <c r="G219" s="2" t="s">
        <v>119</v>
      </c>
      <c r="H219" s="2" t="s">
        <v>48</v>
      </c>
      <c r="I219" s="3">
        <v>46303.41666666667</v>
      </c>
      <c r="J219" s="2" t="s">
        <v>42</v>
      </c>
      <c r="K219" s="2" t="s">
        <v>368</v>
      </c>
      <c r="L219" s="10" t="s">
        <v>369</v>
      </c>
      <c r="M219" s="5" t="str">
        <f>IF(AND(ISNUMBER(N219),ISNUMBER(L219),L219&gt;0),ROUND(N219/L219,2),"")</f>
        <v/>
      </c>
      <c r="N219" s="6">
        <v>47523</v>
      </c>
      <c r="O219" s="7">
        <v>67890</v>
      </c>
      <c r="P219" s="8">
        <f>IF(AND(ISNUMBER(N219),ISNUMBER(O219),O219&gt;0),N219/O219,"")</f>
        <v>0.7</v>
      </c>
      <c r="Q219" s="2" t="s">
        <v>370</v>
      </c>
      <c r="R219" s="9" t="s">
        <v>607</v>
      </c>
    </row>
    <row r="220" spans="1:18" x14ac:dyDescent="0.25">
      <c r="A220" s="2" t="s">
        <v>34</v>
      </c>
      <c r="B220" s="2" t="s">
        <v>364</v>
      </c>
      <c r="C220" s="2" t="s">
        <v>365</v>
      </c>
      <c r="D220" s="2" t="s">
        <v>608</v>
      </c>
      <c r="E220" s="2" t="s">
        <v>367</v>
      </c>
      <c r="F220" s="2" t="s">
        <v>73</v>
      </c>
      <c r="G220" s="2" t="s">
        <v>119</v>
      </c>
      <c r="H220" s="2" t="s">
        <v>48</v>
      </c>
      <c r="I220" s="3">
        <v>46303.41666666667</v>
      </c>
      <c r="J220" s="2" t="s">
        <v>42</v>
      </c>
      <c r="K220" s="2" t="s">
        <v>368</v>
      </c>
      <c r="L220" s="10" t="s">
        <v>369</v>
      </c>
      <c r="M220" s="5" t="str">
        <f>IF(AND(ISNUMBER(N220),ISNUMBER(L220),L220&gt;0),ROUND(N220/L220,2),"")</f>
        <v/>
      </c>
      <c r="N220" s="6">
        <v>47523</v>
      </c>
      <c r="O220" s="7">
        <v>67890</v>
      </c>
      <c r="P220" s="8">
        <f>IF(AND(ISNUMBER(N220),ISNUMBER(O220),O220&gt;0),N220/O220,"")</f>
        <v>0.7</v>
      </c>
      <c r="Q220" s="2" t="s">
        <v>370</v>
      </c>
      <c r="R220" s="9" t="s">
        <v>609</v>
      </c>
    </row>
    <row r="221" spans="1:18" x14ac:dyDescent="0.25">
      <c r="A221" s="2" t="s">
        <v>34</v>
      </c>
      <c r="B221" s="2" t="s">
        <v>364</v>
      </c>
      <c r="C221" s="2" t="s">
        <v>365</v>
      </c>
      <c r="D221" s="2" t="s">
        <v>610</v>
      </c>
      <c r="E221" s="2" t="s">
        <v>367</v>
      </c>
      <c r="F221" s="2" t="s">
        <v>73</v>
      </c>
      <c r="G221" s="2" t="s">
        <v>119</v>
      </c>
      <c r="H221" s="2" t="s">
        <v>48</v>
      </c>
      <c r="I221" s="3">
        <v>46303.41666666667</v>
      </c>
      <c r="J221" s="2" t="s">
        <v>42</v>
      </c>
      <c r="K221" s="2" t="s">
        <v>368</v>
      </c>
      <c r="L221" s="10" t="s">
        <v>369</v>
      </c>
      <c r="M221" s="5" t="str">
        <f>IF(AND(ISNUMBER(N221),ISNUMBER(L221),L221&gt;0),ROUND(N221/L221,2),"")</f>
        <v/>
      </c>
      <c r="N221" s="6">
        <v>47523</v>
      </c>
      <c r="O221" s="7">
        <v>67890</v>
      </c>
      <c r="P221" s="8">
        <f>IF(AND(ISNUMBER(N221),ISNUMBER(O221),O221&gt;0),N221/O221,"")</f>
        <v>0.7</v>
      </c>
      <c r="Q221" s="2" t="s">
        <v>370</v>
      </c>
      <c r="R221" s="9" t="s">
        <v>611</v>
      </c>
    </row>
    <row r="222" spans="1:18" x14ac:dyDescent="0.25">
      <c r="A222" s="2" t="s">
        <v>34</v>
      </c>
      <c r="B222" s="2" t="s">
        <v>364</v>
      </c>
      <c r="C222" s="2" t="s">
        <v>365</v>
      </c>
      <c r="D222" s="2" t="s">
        <v>612</v>
      </c>
      <c r="E222" s="2" t="s">
        <v>367</v>
      </c>
      <c r="F222" s="2" t="s">
        <v>73</v>
      </c>
      <c r="G222" s="2" t="s">
        <v>119</v>
      </c>
      <c r="H222" s="2" t="s">
        <v>48</v>
      </c>
      <c r="I222" s="3">
        <v>46303.41666666667</v>
      </c>
      <c r="J222" s="2" t="s">
        <v>42</v>
      </c>
      <c r="K222" s="2" t="s">
        <v>368</v>
      </c>
      <c r="L222" s="10" t="s">
        <v>369</v>
      </c>
      <c r="M222" s="5" t="str">
        <f>IF(AND(ISNUMBER(N222),ISNUMBER(L222),L222&gt;0),ROUND(N222/L222,2),"")</f>
        <v/>
      </c>
      <c r="N222" s="6">
        <v>47523</v>
      </c>
      <c r="O222" s="7">
        <v>67890</v>
      </c>
      <c r="P222" s="8">
        <f>IF(AND(ISNUMBER(N222),ISNUMBER(O222),O222&gt;0),N222/O222,"")</f>
        <v>0.7</v>
      </c>
      <c r="Q222" s="2" t="s">
        <v>370</v>
      </c>
      <c r="R222" s="9" t="s">
        <v>613</v>
      </c>
    </row>
    <row r="223" spans="1:18" x14ac:dyDescent="0.25">
      <c r="A223" s="2" t="s">
        <v>34</v>
      </c>
      <c r="B223" s="2" t="s">
        <v>364</v>
      </c>
      <c r="C223" s="2" t="s">
        <v>365</v>
      </c>
      <c r="D223" s="2" t="s">
        <v>614</v>
      </c>
      <c r="E223" s="2" t="s">
        <v>367</v>
      </c>
      <c r="F223" s="2" t="s">
        <v>73</v>
      </c>
      <c r="G223" s="2" t="s">
        <v>119</v>
      </c>
      <c r="H223" s="2" t="s">
        <v>48</v>
      </c>
      <c r="I223" s="3">
        <v>46303.41666666667</v>
      </c>
      <c r="J223" s="2" t="s">
        <v>42</v>
      </c>
      <c r="K223" s="2" t="s">
        <v>368</v>
      </c>
      <c r="L223" s="10" t="s">
        <v>369</v>
      </c>
      <c r="M223" s="5" t="str">
        <f>IF(AND(ISNUMBER(N223),ISNUMBER(L223),L223&gt;0),ROUND(N223/L223,2),"")</f>
        <v/>
      </c>
      <c r="N223" s="6">
        <v>47523</v>
      </c>
      <c r="O223" s="7">
        <v>67890</v>
      </c>
      <c r="P223" s="8">
        <f>IF(AND(ISNUMBER(N223),ISNUMBER(O223),O223&gt;0),N223/O223,"")</f>
        <v>0.7</v>
      </c>
      <c r="Q223" s="2" t="s">
        <v>370</v>
      </c>
      <c r="R223" s="9" t="s">
        <v>615</v>
      </c>
    </row>
    <row r="224" spans="1:18" x14ac:dyDescent="0.25">
      <c r="A224" s="2" t="s">
        <v>34</v>
      </c>
      <c r="B224" s="2" t="s">
        <v>364</v>
      </c>
      <c r="C224" s="2" t="s">
        <v>365</v>
      </c>
      <c r="D224" s="2" t="s">
        <v>616</v>
      </c>
      <c r="E224" s="2" t="s">
        <v>367</v>
      </c>
      <c r="F224" s="2" t="s">
        <v>73</v>
      </c>
      <c r="G224" s="2" t="s">
        <v>119</v>
      </c>
      <c r="H224" s="2" t="s">
        <v>48</v>
      </c>
      <c r="I224" s="3">
        <v>46303.41666666667</v>
      </c>
      <c r="J224" s="2" t="s">
        <v>42</v>
      </c>
      <c r="K224" s="2" t="s">
        <v>368</v>
      </c>
      <c r="L224" s="10" t="s">
        <v>369</v>
      </c>
      <c r="M224" s="5" t="str">
        <f>IF(AND(ISNUMBER(N224),ISNUMBER(L224),L224&gt;0),ROUND(N224/L224,2),"")</f>
        <v/>
      </c>
      <c r="N224" s="6">
        <v>47523</v>
      </c>
      <c r="O224" s="7">
        <v>67890</v>
      </c>
      <c r="P224" s="8">
        <f>IF(AND(ISNUMBER(N224),ISNUMBER(O224),O224&gt;0),N224/O224,"")</f>
        <v>0.7</v>
      </c>
      <c r="Q224" s="2" t="s">
        <v>370</v>
      </c>
      <c r="R224" s="9" t="s">
        <v>617</v>
      </c>
    </row>
    <row r="225" spans="1:18" x14ac:dyDescent="0.25">
      <c r="A225" s="2" t="s">
        <v>34</v>
      </c>
      <c r="B225" s="2" t="s">
        <v>364</v>
      </c>
      <c r="C225" s="2" t="s">
        <v>365</v>
      </c>
      <c r="D225" s="2" t="s">
        <v>618</v>
      </c>
      <c r="E225" s="2" t="s">
        <v>367</v>
      </c>
      <c r="F225" s="2" t="s">
        <v>73</v>
      </c>
      <c r="G225" s="2" t="s">
        <v>119</v>
      </c>
      <c r="H225" s="2" t="s">
        <v>48</v>
      </c>
      <c r="I225" s="3">
        <v>46303.41666666667</v>
      </c>
      <c r="J225" s="2" t="s">
        <v>42</v>
      </c>
      <c r="K225" s="2" t="s">
        <v>368</v>
      </c>
      <c r="L225" s="10" t="s">
        <v>369</v>
      </c>
      <c r="M225" s="5" t="str">
        <f>IF(AND(ISNUMBER(N225),ISNUMBER(L225),L225&gt;0),ROUND(N225/L225,2),"")</f>
        <v/>
      </c>
      <c r="N225" s="6">
        <v>48949</v>
      </c>
      <c r="O225" s="7">
        <v>69927</v>
      </c>
      <c r="P225" s="8">
        <f>IF(AND(ISNUMBER(N225),ISNUMBER(O225),O225&gt;0),N225/O225,"")</f>
        <v>0.7000014300627797</v>
      </c>
      <c r="Q225" s="2" t="s">
        <v>370</v>
      </c>
      <c r="R225" s="9" t="s">
        <v>619</v>
      </c>
    </row>
    <row r="226" spans="1:18" x14ac:dyDescent="0.25">
      <c r="A226" s="2" t="s">
        <v>34</v>
      </c>
      <c r="B226" s="2" t="s">
        <v>364</v>
      </c>
      <c r="C226" s="2" t="s">
        <v>365</v>
      </c>
      <c r="D226" s="2" t="s">
        <v>620</v>
      </c>
      <c r="E226" s="2" t="s">
        <v>367</v>
      </c>
      <c r="F226" s="2" t="s">
        <v>73</v>
      </c>
      <c r="G226" s="2" t="s">
        <v>119</v>
      </c>
      <c r="H226" s="2" t="s">
        <v>48</v>
      </c>
      <c r="I226" s="3">
        <v>46303.41666666667</v>
      </c>
      <c r="J226" s="2" t="s">
        <v>42</v>
      </c>
      <c r="K226" s="2" t="s">
        <v>368</v>
      </c>
      <c r="L226" s="10" t="s">
        <v>369</v>
      </c>
      <c r="M226" s="5" t="str">
        <f>IF(AND(ISNUMBER(N226),ISNUMBER(L226),L226&gt;0),ROUND(N226/L226,2),"")</f>
        <v/>
      </c>
      <c r="N226" s="6">
        <v>48949</v>
      </c>
      <c r="O226" s="7">
        <v>69927</v>
      </c>
      <c r="P226" s="8">
        <f>IF(AND(ISNUMBER(N226),ISNUMBER(O226),O226&gt;0),N226/O226,"")</f>
        <v>0.7000014300627797</v>
      </c>
      <c r="Q226" s="2" t="s">
        <v>370</v>
      </c>
      <c r="R226" s="9" t="s">
        <v>621</v>
      </c>
    </row>
    <row r="227" spans="1:18" x14ac:dyDescent="0.25">
      <c r="A227" s="2" t="s">
        <v>34</v>
      </c>
      <c r="B227" s="2" t="s">
        <v>364</v>
      </c>
      <c r="C227" s="2" t="s">
        <v>365</v>
      </c>
      <c r="D227" s="2" t="s">
        <v>622</v>
      </c>
      <c r="E227" s="2" t="s">
        <v>367</v>
      </c>
      <c r="F227" s="2" t="s">
        <v>73</v>
      </c>
      <c r="G227" s="2" t="s">
        <v>119</v>
      </c>
      <c r="H227" s="2" t="s">
        <v>48</v>
      </c>
      <c r="I227" s="3">
        <v>46303.41666666667</v>
      </c>
      <c r="J227" s="2" t="s">
        <v>42</v>
      </c>
      <c r="K227" s="2" t="s">
        <v>368</v>
      </c>
      <c r="L227" s="10" t="s">
        <v>369</v>
      </c>
      <c r="M227" s="5" t="str">
        <f>IF(AND(ISNUMBER(N227),ISNUMBER(L227),L227&gt;0),ROUND(N227/L227,2),"")</f>
        <v/>
      </c>
      <c r="N227" s="6">
        <v>48949</v>
      </c>
      <c r="O227" s="7">
        <v>69927</v>
      </c>
      <c r="P227" s="8">
        <f>IF(AND(ISNUMBER(N227),ISNUMBER(O227),O227&gt;0),N227/O227,"")</f>
        <v>0.7000014300627797</v>
      </c>
      <c r="Q227" s="2" t="s">
        <v>370</v>
      </c>
      <c r="R227" s="9" t="s">
        <v>623</v>
      </c>
    </row>
    <row r="228" spans="1:18" x14ac:dyDescent="0.25">
      <c r="A228" s="2" t="s">
        <v>34</v>
      </c>
      <c r="B228" s="2" t="s">
        <v>364</v>
      </c>
      <c r="C228" s="2" t="s">
        <v>365</v>
      </c>
      <c r="D228" s="2" t="s">
        <v>624</v>
      </c>
      <c r="E228" s="2" t="s">
        <v>367</v>
      </c>
      <c r="F228" s="2" t="s">
        <v>73</v>
      </c>
      <c r="G228" s="2" t="s">
        <v>119</v>
      </c>
      <c r="H228" s="2" t="s">
        <v>48</v>
      </c>
      <c r="I228" s="3">
        <v>46303.41666666667</v>
      </c>
      <c r="J228" s="2" t="s">
        <v>42</v>
      </c>
      <c r="K228" s="2" t="s">
        <v>368</v>
      </c>
      <c r="L228" s="10" t="s">
        <v>369</v>
      </c>
      <c r="M228" s="5" t="str">
        <f>IF(AND(ISNUMBER(N228),ISNUMBER(L228),L228&gt;0),ROUND(N228/L228,2),"")</f>
        <v/>
      </c>
      <c r="N228" s="6">
        <v>47523</v>
      </c>
      <c r="O228" s="7">
        <v>67890</v>
      </c>
      <c r="P228" s="8">
        <f>IF(AND(ISNUMBER(N228),ISNUMBER(O228),O228&gt;0),N228/O228,"")</f>
        <v>0.7</v>
      </c>
      <c r="Q228" s="2" t="s">
        <v>370</v>
      </c>
      <c r="R228" s="9" t="s">
        <v>625</v>
      </c>
    </row>
    <row r="229" spans="1:18" x14ac:dyDescent="0.25">
      <c r="A229" s="2" t="s">
        <v>34</v>
      </c>
      <c r="B229" s="2" t="s">
        <v>364</v>
      </c>
      <c r="C229" s="2" t="s">
        <v>365</v>
      </c>
      <c r="D229" s="2" t="s">
        <v>626</v>
      </c>
      <c r="E229" s="2" t="s">
        <v>367</v>
      </c>
      <c r="F229" s="2" t="s">
        <v>73</v>
      </c>
      <c r="G229" s="2" t="s">
        <v>119</v>
      </c>
      <c r="H229" s="2" t="s">
        <v>48</v>
      </c>
      <c r="I229" s="3">
        <v>46303.41666666667</v>
      </c>
      <c r="J229" s="2" t="s">
        <v>42</v>
      </c>
      <c r="K229" s="2" t="s">
        <v>368</v>
      </c>
      <c r="L229" s="10" t="s">
        <v>369</v>
      </c>
      <c r="M229" s="5" t="str">
        <f>IF(AND(ISNUMBER(N229),ISNUMBER(L229),L229&gt;0),ROUND(N229/L229,2),"")</f>
        <v/>
      </c>
      <c r="N229" s="6">
        <v>48949</v>
      </c>
      <c r="O229" s="7">
        <v>69927</v>
      </c>
      <c r="P229" s="8">
        <f>IF(AND(ISNUMBER(N229),ISNUMBER(O229),O229&gt;0),N229/O229,"")</f>
        <v>0.7000014300627797</v>
      </c>
      <c r="Q229" s="2" t="s">
        <v>370</v>
      </c>
      <c r="R229" s="9" t="s">
        <v>627</v>
      </c>
    </row>
    <row r="230" spans="1:18" x14ac:dyDescent="0.25">
      <c r="A230" s="2" t="s">
        <v>34</v>
      </c>
      <c r="B230" s="2" t="s">
        <v>364</v>
      </c>
      <c r="C230" s="2" t="s">
        <v>365</v>
      </c>
      <c r="D230" s="2" t="s">
        <v>628</v>
      </c>
      <c r="E230" s="2" t="s">
        <v>367</v>
      </c>
      <c r="F230" s="2" t="s">
        <v>73</v>
      </c>
      <c r="G230" s="2" t="s">
        <v>119</v>
      </c>
      <c r="H230" s="2" t="s">
        <v>48</v>
      </c>
      <c r="I230" s="3">
        <v>46303.41666666667</v>
      </c>
      <c r="J230" s="2" t="s">
        <v>42</v>
      </c>
      <c r="K230" s="2" t="s">
        <v>368</v>
      </c>
      <c r="L230" s="10" t="s">
        <v>369</v>
      </c>
      <c r="M230" s="5" t="str">
        <f>IF(AND(ISNUMBER(N230),ISNUMBER(L230),L230&gt;0),ROUND(N230/L230,2),"")</f>
        <v/>
      </c>
      <c r="N230" s="6">
        <v>47523</v>
      </c>
      <c r="O230" s="7">
        <v>67890</v>
      </c>
      <c r="P230" s="8">
        <f>IF(AND(ISNUMBER(N230),ISNUMBER(O230),O230&gt;0),N230/O230,"")</f>
        <v>0.7</v>
      </c>
      <c r="Q230" s="2" t="s">
        <v>370</v>
      </c>
      <c r="R230" s="9" t="s">
        <v>629</v>
      </c>
    </row>
    <row r="231" spans="1:18" x14ac:dyDescent="0.25">
      <c r="A231" s="2" t="s">
        <v>34</v>
      </c>
      <c r="B231" s="2" t="s">
        <v>364</v>
      </c>
      <c r="C231" s="2" t="s">
        <v>365</v>
      </c>
      <c r="D231" s="2" t="s">
        <v>630</v>
      </c>
      <c r="E231" s="2" t="s">
        <v>367</v>
      </c>
      <c r="F231" s="2" t="s">
        <v>73</v>
      </c>
      <c r="G231" s="2" t="s">
        <v>119</v>
      </c>
      <c r="H231" s="2" t="s">
        <v>48</v>
      </c>
      <c r="I231" s="3">
        <v>46303.41666666667</v>
      </c>
      <c r="J231" s="2" t="s">
        <v>42</v>
      </c>
      <c r="K231" s="2" t="s">
        <v>368</v>
      </c>
      <c r="L231" s="10" t="s">
        <v>369</v>
      </c>
      <c r="M231" s="5" t="str">
        <f>IF(AND(ISNUMBER(N231),ISNUMBER(L231),L231&gt;0),ROUND(N231/L231,2),"")</f>
        <v/>
      </c>
      <c r="N231" s="6">
        <v>47523</v>
      </c>
      <c r="O231" s="7">
        <v>67890</v>
      </c>
      <c r="P231" s="8">
        <f>IF(AND(ISNUMBER(N231),ISNUMBER(O231),O231&gt;0),N231/O231,"")</f>
        <v>0.7</v>
      </c>
      <c r="Q231" s="2" t="s">
        <v>370</v>
      </c>
      <c r="R231" s="9" t="s">
        <v>631</v>
      </c>
    </row>
    <row r="232" spans="1:18" x14ac:dyDescent="0.25">
      <c r="A232" s="2" t="s">
        <v>34</v>
      </c>
      <c r="B232" s="2" t="s">
        <v>364</v>
      </c>
      <c r="C232" s="2" t="s">
        <v>365</v>
      </c>
      <c r="D232" s="2" t="s">
        <v>632</v>
      </c>
      <c r="E232" s="2" t="s">
        <v>367</v>
      </c>
      <c r="F232" s="2" t="s">
        <v>73</v>
      </c>
      <c r="G232" s="2" t="s">
        <v>119</v>
      </c>
      <c r="H232" s="2" t="s">
        <v>48</v>
      </c>
      <c r="I232" s="3">
        <v>46303.41666666667</v>
      </c>
      <c r="J232" s="2" t="s">
        <v>42</v>
      </c>
      <c r="K232" s="2" t="s">
        <v>368</v>
      </c>
      <c r="L232" s="10" t="s">
        <v>369</v>
      </c>
      <c r="M232" s="5" t="str">
        <f>IF(AND(ISNUMBER(N232),ISNUMBER(L232),L232&gt;0),ROUND(N232/L232,2),"")</f>
        <v/>
      </c>
      <c r="N232" s="6">
        <v>48949</v>
      </c>
      <c r="O232" s="7">
        <v>69927</v>
      </c>
      <c r="P232" s="8">
        <f>IF(AND(ISNUMBER(N232),ISNUMBER(O232),O232&gt;0),N232/O232,"")</f>
        <v>0.7000014300627797</v>
      </c>
      <c r="Q232" s="2" t="s">
        <v>370</v>
      </c>
      <c r="R232" s="9" t="s">
        <v>633</v>
      </c>
    </row>
    <row r="233" spans="1:18" x14ac:dyDescent="0.25">
      <c r="A233" s="2" t="s">
        <v>34</v>
      </c>
      <c r="B233" s="2" t="s">
        <v>364</v>
      </c>
      <c r="C233" s="2" t="s">
        <v>365</v>
      </c>
      <c r="D233" s="2" t="s">
        <v>634</v>
      </c>
      <c r="E233" s="2" t="s">
        <v>367</v>
      </c>
      <c r="F233" s="2" t="s">
        <v>73</v>
      </c>
      <c r="G233" s="2" t="s">
        <v>119</v>
      </c>
      <c r="H233" s="2" t="s">
        <v>48</v>
      </c>
      <c r="I233" s="3">
        <v>46303.41666666667</v>
      </c>
      <c r="J233" s="2" t="s">
        <v>42</v>
      </c>
      <c r="K233" s="2" t="s">
        <v>368</v>
      </c>
      <c r="L233" s="10" t="s">
        <v>369</v>
      </c>
      <c r="M233" s="5" t="str">
        <f>IF(AND(ISNUMBER(N233),ISNUMBER(L233),L233&gt;0),ROUND(N233/L233,2),"")</f>
        <v/>
      </c>
      <c r="N233" s="6">
        <v>47523</v>
      </c>
      <c r="O233" s="7">
        <v>67890</v>
      </c>
      <c r="P233" s="8">
        <f>IF(AND(ISNUMBER(N233),ISNUMBER(O233),O233&gt;0),N233/O233,"")</f>
        <v>0.7</v>
      </c>
      <c r="Q233" s="2" t="s">
        <v>370</v>
      </c>
      <c r="R233" s="9" t="s">
        <v>635</v>
      </c>
    </row>
    <row r="234" spans="1:18" x14ac:dyDescent="0.25">
      <c r="A234" s="2" t="s">
        <v>34</v>
      </c>
      <c r="B234" s="2" t="s">
        <v>364</v>
      </c>
      <c r="C234" s="2" t="s">
        <v>365</v>
      </c>
      <c r="D234" s="2" t="s">
        <v>636</v>
      </c>
      <c r="E234" s="2" t="s">
        <v>367</v>
      </c>
      <c r="F234" s="2" t="s">
        <v>73</v>
      </c>
      <c r="G234" s="2" t="s">
        <v>119</v>
      </c>
      <c r="H234" s="2" t="s">
        <v>48</v>
      </c>
      <c r="I234" s="3">
        <v>46303.41666666667</v>
      </c>
      <c r="J234" s="2" t="s">
        <v>42</v>
      </c>
      <c r="K234" s="2" t="s">
        <v>368</v>
      </c>
      <c r="L234" s="10" t="s">
        <v>369</v>
      </c>
      <c r="M234" s="5" t="str">
        <f>IF(AND(ISNUMBER(N234),ISNUMBER(L234),L234&gt;0),ROUND(N234/L234,2),"")</f>
        <v/>
      </c>
      <c r="N234" s="6">
        <v>47523</v>
      </c>
      <c r="O234" s="7">
        <v>67890</v>
      </c>
      <c r="P234" s="8">
        <f>IF(AND(ISNUMBER(N234),ISNUMBER(O234),O234&gt;0),N234/O234,"")</f>
        <v>0.7</v>
      </c>
      <c r="Q234" s="2" t="s">
        <v>370</v>
      </c>
      <c r="R234" s="9" t="s">
        <v>637</v>
      </c>
    </row>
    <row r="235" spans="1:18" x14ac:dyDescent="0.25">
      <c r="A235" s="2" t="s">
        <v>34</v>
      </c>
      <c r="B235" s="2" t="s">
        <v>364</v>
      </c>
      <c r="C235" s="2" t="s">
        <v>365</v>
      </c>
      <c r="D235" s="2" t="s">
        <v>638</v>
      </c>
      <c r="E235" s="2" t="s">
        <v>367</v>
      </c>
      <c r="F235" s="2" t="s">
        <v>73</v>
      </c>
      <c r="G235" s="2" t="s">
        <v>119</v>
      </c>
      <c r="H235" s="2" t="s">
        <v>48</v>
      </c>
      <c r="I235" s="3">
        <v>46303.41666666667</v>
      </c>
      <c r="J235" s="2" t="s">
        <v>42</v>
      </c>
      <c r="K235" s="2" t="s">
        <v>368</v>
      </c>
      <c r="L235" s="10" t="s">
        <v>369</v>
      </c>
      <c r="M235" s="5" t="str">
        <f>IF(AND(ISNUMBER(N235),ISNUMBER(L235),L235&gt;0),ROUND(N235/L235,2),"")</f>
        <v/>
      </c>
      <c r="N235" s="6">
        <v>48949</v>
      </c>
      <c r="O235" s="7">
        <v>69927</v>
      </c>
      <c r="P235" s="8">
        <f>IF(AND(ISNUMBER(N235),ISNUMBER(O235),O235&gt;0),N235/O235,"")</f>
        <v>0.7000014300627797</v>
      </c>
      <c r="Q235" s="2" t="s">
        <v>370</v>
      </c>
      <c r="R235" s="9" t="s">
        <v>639</v>
      </c>
    </row>
    <row r="236" spans="1:18" x14ac:dyDescent="0.25">
      <c r="A236" s="2" t="s">
        <v>34</v>
      </c>
      <c r="B236" s="2" t="s">
        <v>364</v>
      </c>
      <c r="C236" s="2" t="s">
        <v>365</v>
      </c>
      <c r="D236" s="2" t="s">
        <v>640</v>
      </c>
      <c r="E236" s="2" t="s">
        <v>367</v>
      </c>
      <c r="F236" s="2" t="s">
        <v>73</v>
      </c>
      <c r="G236" s="2" t="s">
        <v>119</v>
      </c>
      <c r="H236" s="2" t="s">
        <v>48</v>
      </c>
      <c r="I236" s="3">
        <v>46303.41666666667</v>
      </c>
      <c r="J236" s="2" t="s">
        <v>42</v>
      </c>
      <c r="K236" s="2" t="s">
        <v>368</v>
      </c>
      <c r="L236" s="10" t="s">
        <v>369</v>
      </c>
      <c r="M236" s="5" t="str">
        <f>IF(AND(ISNUMBER(N236),ISNUMBER(L236),L236&gt;0),ROUND(N236/L236,2),"")</f>
        <v/>
      </c>
      <c r="N236" s="6">
        <v>48949</v>
      </c>
      <c r="O236" s="7">
        <v>69927</v>
      </c>
      <c r="P236" s="8">
        <f>IF(AND(ISNUMBER(N236),ISNUMBER(O236),O236&gt;0),N236/O236,"")</f>
        <v>0.7000014300627797</v>
      </c>
      <c r="Q236" s="2" t="s">
        <v>370</v>
      </c>
      <c r="R236" s="9" t="s">
        <v>641</v>
      </c>
    </row>
    <row r="237" spans="1:18" x14ac:dyDescent="0.25">
      <c r="A237" s="2" t="s">
        <v>34</v>
      </c>
      <c r="B237" s="2" t="s">
        <v>364</v>
      </c>
      <c r="C237" s="2" t="s">
        <v>365</v>
      </c>
      <c r="D237" s="2" t="s">
        <v>642</v>
      </c>
      <c r="E237" s="2" t="s">
        <v>367</v>
      </c>
      <c r="F237" s="2" t="s">
        <v>73</v>
      </c>
      <c r="G237" s="2" t="s">
        <v>119</v>
      </c>
      <c r="H237" s="2" t="s">
        <v>48</v>
      </c>
      <c r="I237" s="3">
        <v>46303.41666666667</v>
      </c>
      <c r="J237" s="2" t="s">
        <v>42</v>
      </c>
      <c r="K237" s="2" t="s">
        <v>368</v>
      </c>
      <c r="L237" s="10" t="s">
        <v>369</v>
      </c>
      <c r="M237" s="5" t="str">
        <f>IF(AND(ISNUMBER(N237),ISNUMBER(L237),L237&gt;0),ROUND(N237/L237,2),"")</f>
        <v/>
      </c>
      <c r="N237" s="6">
        <v>47523</v>
      </c>
      <c r="O237" s="7">
        <v>67890</v>
      </c>
      <c r="P237" s="8">
        <f>IF(AND(ISNUMBER(N237),ISNUMBER(O237),O237&gt;0),N237/O237,"")</f>
        <v>0.7</v>
      </c>
      <c r="Q237" s="2" t="s">
        <v>370</v>
      </c>
      <c r="R237" s="9" t="s">
        <v>643</v>
      </c>
    </row>
    <row r="238" spans="1:18" x14ac:dyDescent="0.25">
      <c r="A238" s="2" t="s">
        <v>34</v>
      </c>
      <c r="B238" s="2" t="s">
        <v>364</v>
      </c>
      <c r="C238" s="2" t="s">
        <v>365</v>
      </c>
      <c r="D238" s="2" t="s">
        <v>644</v>
      </c>
      <c r="E238" s="2" t="s">
        <v>367</v>
      </c>
      <c r="F238" s="2" t="s">
        <v>73</v>
      </c>
      <c r="G238" s="2" t="s">
        <v>119</v>
      </c>
      <c r="H238" s="2" t="s">
        <v>48</v>
      </c>
      <c r="I238" s="3">
        <v>46303.41666666667</v>
      </c>
      <c r="J238" s="2" t="s">
        <v>42</v>
      </c>
      <c r="K238" s="2" t="s">
        <v>368</v>
      </c>
      <c r="L238" s="10" t="s">
        <v>369</v>
      </c>
      <c r="M238" s="5" t="str">
        <f>IF(AND(ISNUMBER(N238),ISNUMBER(L238),L238&gt;0),ROUND(N238/L238,2),"")</f>
        <v/>
      </c>
      <c r="N238" s="6">
        <v>48949</v>
      </c>
      <c r="O238" s="7">
        <v>69927</v>
      </c>
      <c r="P238" s="8">
        <f>IF(AND(ISNUMBER(N238),ISNUMBER(O238),O238&gt;0),N238/O238,"")</f>
        <v>0.7000014300627797</v>
      </c>
      <c r="Q238" s="2" t="s">
        <v>370</v>
      </c>
      <c r="R238" s="9" t="s">
        <v>645</v>
      </c>
    </row>
    <row r="239" spans="1:18" x14ac:dyDescent="0.25">
      <c r="A239" s="2" t="s">
        <v>34</v>
      </c>
      <c r="B239" s="2" t="s">
        <v>364</v>
      </c>
      <c r="C239" s="2" t="s">
        <v>365</v>
      </c>
      <c r="D239" s="2" t="s">
        <v>646</v>
      </c>
      <c r="E239" s="2" t="s">
        <v>367</v>
      </c>
      <c r="F239" s="2" t="s">
        <v>73</v>
      </c>
      <c r="G239" s="2" t="s">
        <v>119</v>
      </c>
      <c r="H239" s="2" t="s">
        <v>48</v>
      </c>
      <c r="I239" s="3">
        <v>46303.41666666667</v>
      </c>
      <c r="J239" s="2" t="s">
        <v>42</v>
      </c>
      <c r="K239" s="2" t="s">
        <v>368</v>
      </c>
      <c r="L239" s="10" t="s">
        <v>369</v>
      </c>
      <c r="M239" s="5" t="str">
        <f>IF(AND(ISNUMBER(N239),ISNUMBER(L239),L239&gt;0),ROUND(N239/L239,2),"")</f>
        <v/>
      </c>
      <c r="N239" s="6">
        <v>48949</v>
      </c>
      <c r="O239" s="7">
        <v>69927</v>
      </c>
      <c r="P239" s="8">
        <f>IF(AND(ISNUMBER(N239),ISNUMBER(O239),O239&gt;0),N239/O239,"")</f>
        <v>0.7000014300627797</v>
      </c>
      <c r="Q239" s="2" t="s">
        <v>370</v>
      </c>
      <c r="R239" s="9" t="s">
        <v>647</v>
      </c>
    </row>
    <row r="240" spans="1:18" x14ac:dyDescent="0.25">
      <c r="A240" s="2" t="s">
        <v>34</v>
      </c>
      <c r="B240" s="2" t="s">
        <v>364</v>
      </c>
      <c r="C240" s="2" t="s">
        <v>365</v>
      </c>
      <c r="D240" s="2" t="s">
        <v>648</v>
      </c>
      <c r="E240" s="2" t="s">
        <v>367</v>
      </c>
      <c r="F240" s="2" t="s">
        <v>73</v>
      </c>
      <c r="G240" s="2" t="s">
        <v>119</v>
      </c>
      <c r="H240" s="2" t="s">
        <v>48</v>
      </c>
      <c r="I240" s="3">
        <v>46303.41666666667</v>
      </c>
      <c r="J240" s="2" t="s">
        <v>42</v>
      </c>
      <c r="K240" s="2" t="s">
        <v>368</v>
      </c>
      <c r="L240" s="10" t="s">
        <v>369</v>
      </c>
      <c r="M240" s="5" t="str">
        <f>IF(AND(ISNUMBER(N240),ISNUMBER(L240),L240&gt;0),ROUND(N240/L240,2),"")</f>
        <v/>
      </c>
      <c r="N240" s="6">
        <v>48949</v>
      </c>
      <c r="O240" s="7">
        <v>69927</v>
      </c>
      <c r="P240" s="8">
        <f>IF(AND(ISNUMBER(N240),ISNUMBER(O240),O240&gt;0),N240/O240,"")</f>
        <v>0.7000014300627797</v>
      </c>
      <c r="Q240" s="2" t="s">
        <v>370</v>
      </c>
      <c r="R240" s="9" t="s">
        <v>649</v>
      </c>
    </row>
    <row r="241" spans="1:18" x14ac:dyDescent="0.25">
      <c r="A241" s="2" t="s">
        <v>34</v>
      </c>
      <c r="B241" s="2" t="s">
        <v>364</v>
      </c>
      <c r="C241" s="2" t="s">
        <v>365</v>
      </c>
      <c r="D241" s="2" t="s">
        <v>650</v>
      </c>
      <c r="E241" s="2" t="s">
        <v>367</v>
      </c>
      <c r="F241" s="2" t="s">
        <v>73</v>
      </c>
      <c r="G241" s="2" t="s">
        <v>119</v>
      </c>
      <c r="H241" s="2" t="s">
        <v>48</v>
      </c>
      <c r="I241" s="3">
        <v>46303.41666666667</v>
      </c>
      <c r="J241" s="2" t="s">
        <v>42</v>
      </c>
      <c r="K241" s="2" t="s">
        <v>368</v>
      </c>
      <c r="L241" s="10" t="s">
        <v>369</v>
      </c>
      <c r="M241" s="5" t="str">
        <f>IF(AND(ISNUMBER(N241),ISNUMBER(L241),L241&gt;0),ROUND(N241/L241,2),"")</f>
        <v/>
      </c>
      <c r="N241" s="6">
        <v>47523</v>
      </c>
      <c r="O241" s="7">
        <v>67890</v>
      </c>
      <c r="P241" s="8">
        <f>IF(AND(ISNUMBER(N241),ISNUMBER(O241),O241&gt;0),N241/O241,"")</f>
        <v>0.7</v>
      </c>
      <c r="Q241" s="2" t="s">
        <v>370</v>
      </c>
      <c r="R241" s="9" t="s">
        <v>651</v>
      </c>
    </row>
    <row r="242" spans="1:18" x14ac:dyDescent="0.25">
      <c r="A242" s="2" t="s">
        <v>34</v>
      </c>
      <c r="B242" s="2" t="s">
        <v>364</v>
      </c>
      <c r="C242" s="2" t="s">
        <v>365</v>
      </c>
      <c r="D242" s="2" t="s">
        <v>652</v>
      </c>
      <c r="E242" s="2" t="s">
        <v>367</v>
      </c>
      <c r="F242" s="2" t="s">
        <v>73</v>
      </c>
      <c r="G242" s="2" t="s">
        <v>119</v>
      </c>
      <c r="H242" s="2" t="s">
        <v>48</v>
      </c>
      <c r="I242" s="3">
        <v>46303.41666666667</v>
      </c>
      <c r="J242" s="2" t="s">
        <v>42</v>
      </c>
      <c r="K242" s="2" t="s">
        <v>368</v>
      </c>
      <c r="L242" s="10" t="s">
        <v>369</v>
      </c>
      <c r="M242" s="5" t="str">
        <f>IF(AND(ISNUMBER(N242),ISNUMBER(L242),L242&gt;0),ROUND(N242/L242,2),"")</f>
        <v/>
      </c>
      <c r="N242" s="6">
        <v>48949</v>
      </c>
      <c r="O242" s="7">
        <v>69927</v>
      </c>
      <c r="P242" s="8">
        <f>IF(AND(ISNUMBER(N242),ISNUMBER(O242),O242&gt;0),N242/O242,"")</f>
        <v>0.7000014300627797</v>
      </c>
      <c r="Q242" s="2" t="s">
        <v>370</v>
      </c>
      <c r="R242" s="9" t="s">
        <v>653</v>
      </c>
    </row>
    <row r="243" spans="1:18" x14ac:dyDescent="0.25">
      <c r="A243" s="2" t="s">
        <v>34</v>
      </c>
      <c r="B243" s="2" t="s">
        <v>364</v>
      </c>
      <c r="C243" s="2" t="s">
        <v>365</v>
      </c>
      <c r="D243" s="2" t="s">
        <v>654</v>
      </c>
      <c r="E243" s="2" t="s">
        <v>367</v>
      </c>
      <c r="F243" s="2" t="s">
        <v>73</v>
      </c>
      <c r="G243" s="2" t="s">
        <v>119</v>
      </c>
      <c r="H243" s="2" t="s">
        <v>48</v>
      </c>
      <c r="I243" s="3">
        <v>46303.41666666667</v>
      </c>
      <c r="J243" s="2" t="s">
        <v>42</v>
      </c>
      <c r="K243" s="2" t="s">
        <v>368</v>
      </c>
      <c r="L243" s="10" t="s">
        <v>369</v>
      </c>
      <c r="M243" s="5" t="str">
        <f>IF(AND(ISNUMBER(N243),ISNUMBER(L243),L243&gt;0),ROUND(N243/L243,2),"")</f>
        <v/>
      </c>
      <c r="N243" s="6">
        <v>47523</v>
      </c>
      <c r="O243" s="7">
        <v>67890</v>
      </c>
      <c r="P243" s="8">
        <f>IF(AND(ISNUMBER(N243),ISNUMBER(O243),O243&gt;0),N243/O243,"")</f>
        <v>0.7</v>
      </c>
      <c r="Q243" s="2" t="s">
        <v>370</v>
      </c>
      <c r="R243" s="9" t="s">
        <v>655</v>
      </c>
    </row>
    <row r="244" spans="1:18" x14ac:dyDescent="0.25">
      <c r="A244" s="2" t="s">
        <v>34</v>
      </c>
      <c r="B244" s="2" t="s">
        <v>364</v>
      </c>
      <c r="C244" s="2" t="s">
        <v>365</v>
      </c>
      <c r="D244" s="2" t="s">
        <v>656</v>
      </c>
      <c r="E244" s="2" t="s">
        <v>367</v>
      </c>
      <c r="F244" s="2" t="s">
        <v>73</v>
      </c>
      <c r="G244" s="2" t="s">
        <v>119</v>
      </c>
      <c r="H244" s="2" t="s">
        <v>48</v>
      </c>
      <c r="I244" s="3">
        <v>46303.41666666667</v>
      </c>
      <c r="J244" s="2" t="s">
        <v>42</v>
      </c>
      <c r="K244" s="2" t="s">
        <v>368</v>
      </c>
      <c r="L244" s="10" t="s">
        <v>369</v>
      </c>
      <c r="M244" s="5" t="str">
        <f>IF(AND(ISNUMBER(N244),ISNUMBER(L244),L244&gt;0),ROUND(N244/L244,2),"")</f>
        <v/>
      </c>
      <c r="N244" s="6">
        <v>47523</v>
      </c>
      <c r="O244" s="7">
        <v>67890</v>
      </c>
      <c r="P244" s="8">
        <f>IF(AND(ISNUMBER(N244),ISNUMBER(O244),O244&gt;0),N244/O244,"")</f>
        <v>0.7</v>
      </c>
      <c r="Q244" s="2" t="s">
        <v>370</v>
      </c>
      <c r="R244" s="9" t="s">
        <v>657</v>
      </c>
    </row>
    <row r="245" spans="1:18" x14ac:dyDescent="0.25">
      <c r="A245" s="2" t="s">
        <v>34</v>
      </c>
      <c r="B245" s="2" t="s">
        <v>364</v>
      </c>
      <c r="C245" s="2" t="s">
        <v>658</v>
      </c>
      <c r="D245" s="2" t="s">
        <v>659</v>
      </c>
      <c r="E245" s="2" t="s">
        <v>660</v>
      </c>
      <c r="F245" s="2" t="s">
        <v>39</v>
      </c>
      <c r="G245" s="2" t="s">
        <v>119</v>
      </c>
      <c r="H245" s="2" t="s">
        <v>48</v>
      </c>
      <c r="I245" s="3">
        <v>46300.41666666667</v>
      </c>
      <c r="J245" s="2" t="s">
        <v>42</v>
      </c>
      <c r="K245" s="2" t="s">
        <v>661</v>
      </c>
      <c r="L245" s="4">
        <v>122.16</v>
      </c>
      <c r="M245" s="5">
        <f>IF(AND(ISNUMBER(N245),ISNUMBER(L245),L245&gt;0),ROUND(N245/L245,2),"")</f>
        <v>6466.93</v>
      </c>
      <c r="N245" s="6">
        <v>790000</v>
      </c>
      <c r="O245" s="7">
        <v>1100200</v>
      </c>
      <c r="P245" s="8">
        <f>IF(AND(ISNUMBER(N245),ISNUMBER(O245),O245&gt;0),N245/O245,"")</f>
        <v>0.7180512634066534</v>
      </c>
      <c r="Q245" s="2" t="s">
        <v>162</v>
      </c>
      <c r="R245" s="9" t="s">
        <v>662</v>
      </c>
    </row>
    <row r="246" spans="1:18" x14ac:dyDescent="0.25">
      <c r="A246" s="2" t="s">
        <v>34</v>
      </c>
      <c r="B246" s="2" t="s">
        <v>364</v>
      </c>
      <c r="C246" s="2" t="s">
        <v>365</v>
      </c>
      <c r="D246" s="2" t="s">
        <v>663</v>
      </c>
      <c r="E246" s="2" t="s">
        <v>367</v>
      </c>
      <c r="F246" s="2" t="s">
        <v>73</v>
      </c>
      <c r="G246" s="2" t="s">
        <v>119</v>
      </c>
      <c r="H246" s="2" t="s">
        <v>48</v>
      </c>
      <c r="I246" s="3">
        <v>46303.41666666667</v>
      </c>
      <c r="J246" s="2" t="s">
        <v>42</v>
      </c>
      <c r="K246" s="2" t="s">
        <v>368</v>
      </c>
      <c r="L246" s="10" t="s">
        <v>369</v>
      </c>
      <c r="M246" s="5" t="str">
        <f>IF(AND(ISNUMBER(N246),ISNUMBER(L246),L246&gt;0),ROUND(N246/L246,2),"")</f>
        <v/>
      </c>
      <c r="N246" s="6">
        <v>47523</v>
      </c>
      <c r="O246" s="7">
        <v>67890</v>
      </c>
      <c r="P246" s="8">
        <f>IF(AND(ISNUMBER(N246),ISNUMBER(O246),O246&gt;0),N246/O246,"")</f>
        <v>0.7</v>
      </c>
      <c r="Q246" s="2" t="s">
        <v>370</v>
      </c>
      <c r="R246" s="9" t="s">
        <v>664</v>
      </c>
    </row>
    <row r="247" spans="1:18" x14ac:dyDescent="0.25">
      <c r="A247" s="2" t="s">
        <v>34</v>
      </c>
      <c r="B247" s="2" t="s">
        <v>364</v>
      </c>
      <c r="C247" s="2" t="s">
        <v>365</v>
      </c>
      <c r="D247" s="2" t="s">
        <v>665</v>
      </c>
      <c r="E247" s="2" t="s">
        <v>367</v>
      </c>
      <c r="F247" s="2" t="s">
        <v>73</v>
      </c>
      <c r="G247" s="2" t="s">
        <v>119</v>
      </c>
      <c r="H247" s="2" t="s">
        <v>48</v>
      </c>
      <c r="I247" s="3">
        <v>46303.41666666667</v>
      </c>
      <c r="J247" s="2" t="s">
        <v>42</v>
      </c>
      <c r="K247" s="2" t="s">
        <v>368</v>
      </c>
      <c r="L247" s="10" t="s">
        <v>369</v>
      </c>
      <c r="M247" s="5" t="str">
        <f>IF(AND(ISNUMBER(N247),ISNUMBER(L247),L247&gt;0),ROUND(N247/L247,2),"")</f>
        <v/>
      </c>
      <c r="N247" s="6">
        <v>47523</v>
      </c>
      <c r="O247" s="7">
        <v>67890</v>
      </c>
      <c r="P247" s="8">
        <f>IF(AND(ISNUMBER(N247),ISNUMBER(O247),O247&gt;0),N247/O247,"")</f>
        <v>0.7</v>
      </c>
      <c r="Q247" s="2" t="s">
        <v>370</v>
      </c>
      <c r="R247" s="9" t="s">
        <v>666</v>
      </c>
    </row>
    <row r="248" spans="1:18" x14ac:dyDescent="0.25">
      <c r="A248" s="2" t="s">
        <v>34</v>
      </c>
      <c r="B248" s="2" t="s">
        <v>364</v>
      </c>
      <c r="C248" s="2" t="s">
        <v>365</v>
      </c>
      <c r="D248" s="2" t="s">
        <v>667</v>
      </c>
      <c r="E248" s="2" t="s">
        <v>367</v>
      </c>
      <c r="F248" s="2" t="s">
        <v>73</v>
      </c>
      <c r="G248" s="2" t="s">
        <v>119</v>
      </c>
      <c r="H248" s="2" t="s">
        <v>48</v>
      </c>
      <c r="I248" s="3">
        <v>46303.41666666667</v>
      </c>
      <c r="J248" s="2" t="s">
        <v>42</v>
      </c>
      <c r="K248" s="2" t="s">
        <v>368</v>
      </c>
      <c r="L248" s="10" t="s">
        <v>369</v>
      </c>
      <c r="M248" s="5" t="str">
        <f>IF(AND(ISNUMBER(N248),ISNUMBER(L248),L248&gt;0),ROUND(N248/L248,2),"")</f>
        <v/>
      </c>
      <c r="N248" s="6">
        <v>47523</v>
      </c>
      <c r="O248" s="7">
        <v>67890</v>
      </c>
      <c r="P248" s="8">
        <f>IF(AND(ISNUMBER(N248),ISNUMBER(O248),O248&gt;0),N248/O248,"")</f>
        <v>0.7</v>
      </c>
      <c r="Q248" s="2" t="s">
        <v>370</v>
      </c>
      <c r="R248" s="9" t="s">
        <v>668</v>
      </c>
    </row>
    <row r="249" spans="1:18" x14ac:dyDescent="0.25">
      <c r="A249" s="2" t="s">
        <v>34</v>
      </c>
      <c r="B249" s="2" t="s">
        <v>364</v>
      </c>
      <c r="C249" s="2" t="s">
        <v>365</v>
      </c>
      <c r="D249" s="2" t="s">
        <v>669</v>
      </c>
      <c r="E249" s="2" t="s">
        <v>367</v>
      </c>
      <c r="F249" s="2" t="s">
        <v>73</v>
      </c>
      <c r="G249" s="2" t="s">
        <v>119</v>
      </c>
      <c r="H249" s="2" t="s">
        <v>48</v>
      </c>
      <c r="I249" s="3">
        <v>46303.41666666667</v>
      </c>
      <c r="J249" s="2" t="s">
        <v>42</v>
      </c>
      <c r="K249" s="2" t="s">
        <v>368</v>
      </c>
      <c r="L249" s="10" t="s">
        <v>369</v>
      </c>
      <c r="M249" s="5" t="str">
        <f>IF(AND(ISNUMBER(N249),ISNUMBER(L249),L249&gt;0),ROUND(N249/L249,2),"")</f>
        <v/>
      </c>
      <c r="N249" s="6">
        <v>48949</v>
      </c>
      <c r="O249" s="7">
        <v>69927</v>
      </c>
      <c r="P249" s="8">
        <f>IF(AND(ISNUMBER(N249),ISNUMBER(O249),O249&gt;0),N249/O249,"")</f>
        <v>0.7000014300627797</v>
      </c>
      <c r="Q249" s="2" t="s">
        <v>370</v>
      </c>
      <c r="R249" s="9" t="s">
        <v>670</v>
      </c>
    </row>
    <row r="250" spans="1:18" x14ac:dyDescent="0.25">
      <c r="A250" s="2" t="s">
        <v>34</v>
      </c>
      <c r="B250" s="2" t="s">
        <v>364</v>
      </c>
      <c r="C250" s="2" t="s">
        <v>365</v>
      </c>
      <c r="D250" s="2" t="s">
        <v>671</v>
      </c>
      <c r="E250" s="2" t="s">
        <v>672</v>
      </c>
      <c r="F250" s="2" t="s">
        <v>39</v>
      </c>
      <c r="G250" s="2" t="s">
        <v>119</v>
      </c>
      <c r="H250" s="2" t="s">
        <v>48</v>
      </c>
      <c r="I250" s="3">
        <v>46303.41666666667</v>
      </c>
      <c r="J250" s="2" t="s">
        <v>42</v>
      </c>
      <c r="K250" s="2" t="s">
        <v>368</v>
      </c>
      <c r="L250" s="4">
        <v>116.46</v>
      </c>
      <c r="M250" s="5">
        <f>IF(AND(ISNUMBER(N250),ISNUMBER(L250),L250&gt;0),ROUND(N250/L250,2),"")</f>
        <v>4758.35</v>
      </c>
      <c r="N250" s="6">
        <v>554158</v>
      </c>
      <c r="O250" s="7">
        <v>791654</v>
      </c>
      <c r="P250" s="8">
        <f>IF(AND(ISNUMBER(N250),ISNUMBER(O250),O250&gt;0),N250/O250,"")</f>
        <v>0.7000002526356212</v>
      </c>
      <c r="Q250" s="9" t="s">
        <v>7</v>
      </c>
      <c r="R250" s="9" t="s">
        <v>673</v>
      </c>
    </row>
    <row r="251" spans="1:18" x14ac:dyDescent="0.25">
      <c r="A251" s="2" t="s">
        <v>34</v>
      </c>
      <c r="B251" s="2" t="s">
        <v>364</v>
      </c>
      <c r="C251" s="2" t="s">
        <v>365</v>
      </c>
      <c r="D251" s="2" t="s">
        <v>674</v>
      </c>
      <c r="E251" s="2" t="s">
        <v>367</v>
      </c>
      <c r="F251" s="2" t="s">
        <v>73</v>
      </c>
      <c r="G251" s="2" t="s">
        <v>119</v>
      </c>
      <c r="H251" s="2" t="s">
        <v>48</v>
      </c>
      <c r="I251" s="3">
        <v>46303.41666666667</v>
      </c>
      <c r="J251" s="2" t="s">
        <v>42</v>
      </c>
      <c r="K251" s="2" t="s">
        <v>368</v>
      </c>
      <c r="L251" s="10" t="s">
        <v>369</v>
      </c>
      <c r="M251" s="5" t="str">
        <f>IF(AND(ISNUMBER(N251),ISNUMBER(L251),L251&gt;0),ROUND(N251/L251,2),"")</f>
        <v/>
      </c>
      <c r="N251" s="6">
        <v>47523</v>
      </c>
      <c r="O251" s="7">
        <v>67890</v>
      </c>
      <c r="P251" s="8">
        <f>IF(AND(ISNUMBER(N251),ISNUMBER(O251),O251&gt;0),N251/O251,"")</f>
        <v>0.7</v>
      </c>
      <c r="Q251" s="2" t="s">
        <v>370</v>
      </c>
      <c r="R251" s="9" t="s">
        <v>675</v>
      </c>
    </row>
    <row r="252" spans="1:18" x14ac:dyDescent="0.25">
      <c r="A252" s="2" t="s">
        <v>34</v>
      </c>
      <c r="B252" s="2" t="s">
        <v>364</v>
      </c>
      <c r="C252" s="2" t="s">
        <v>365</v>
      </c>
      <c r="D252" s="2" t="s">
        <v>676</v>
      </c>
      <c r="E252" s="2" t="s">
        <v>367</v>
      </c>
      <c r="F252" s="2" t="s">
        <v>73</v>
      </c>
      <c r="G252" s="2" t="s">
        <v>119</v>
      </c>
      <c r="H252" s="2" t="s">
        <v>48</v>
      </c>
      <c r="I252" s="3">
        <v>46303.41666666667</v>
      </c>
      <c r="J252" s="2" t="s">
        <v>42</v>
      </c>
      <c r="K252" s="2" t="s">
        <v>368</v>
      </c>
      <c r="L252" s="10" t="s">
        <v>369</v>
      </c>
      <c r="M252" s="5" t="str">
        <f>IF(AND(ISNUMBER(N252),ISNUMBER(L252),L252&gt;0),ROUND(N252/L252,2),"")</f>
        <v/>
      </c>
      <c r="N252" s="6">
        <v>47523</v>
      </c>
      <c r="O252" s="7">
        <v>67890</v>
      </c>
      <c r="P252" s="8">
        <f>IF(AND(ISNUMBER(N252),ISNUMBER(O252),O252&gt;0),N252/O252,"")</f>
        <v>0.7</v>
      </c>
      <c r="Q252" s="2" t="s">
        <v>370</v>
      </c>
      <c r="R252" s="9" t="s">
        <v>677</v>
      </c>
    </row>
    <row r="253" spans="1:18" x14ac:dyDescent="0.25">
      <c r="A253" s="2" t="s">
        <v>34</v>
      </c>
      <c r="B253" s="2" t="s">
        <v>364</v>
      </c>
      <c r="C253" s="2" t="s">
        <v>365</v>
      </c>
      <c r="D253" s="2" t="s">
        <v>678</v>
      </c>
      <c r="E253" s="2" t="s">
        <v>367</v>
      </c>
      <c r="F253" s="2" t="s">
        <v>73</v>
      </c>
      <c r="G253" s="2" t="s">
        <v>119</v>
      </c>
      <c r="H253" s="2" t="s">
        <v>48</v>
      </c>
      <c r="I253" s="3">
        <v>46303.41666666667</v>
      </c>
      <c r="J253" s="2" t="s">
        <v>42</v>
      </c>
      <c r="K253" s="2" t="s">
        <v>368</v>
      </c>
      <c r="L253" s="10" t="s">
        <v>369</v>
      </c>
      <c r="M253" s="5" t="str">
        <f>IF(AND(ISNUMBER(N253),ISNUMBER(L253),L253&gt;0),ROUND(N253/L253,2),"")</f>
        <v/>
      </c>
      <c r="N253" s="6">
        <v>47523</v>
      </c>
      <c r="O253" s="7">
        <v>67890</v>
      </c>
      <c r="P253" s="8">
        <f>IF(AND(ISNUMBER(N253),ISNUMBER(O253),O253&gt;0),N253/O253,"")</f>
        <v>0.7</v>
      </c>
      <c r="Q253" s="2" t="s">
        <v>370</v>
      </c>
      <c r="R253" s="9" t="s">
        <v>679</v>
      </c>
    </row>
    <row r="254" spans="1:18" x14ac:dyDescent="0.25">
      <c r="A254" s="2" t="s">
        <v>34</v>
      </c>
      <c r="B254" s="2" t="s">
        <v>364</v>
      </c>
      <c r="C254" s="2" t="s">
        <v>365</v>
      </c>
      <c r="D254" s="2" t="s">
        <v>680</v>
      </c>
      <c r="E254" s="2" t="s">
        <v>367</v>
      </c>
      <c r="F254" s="2" t="s">
        <v>73</v>
      </c>
      <c r="G254" s="2" t="s">
        <v>119</v>
      </c>
      <c r="H254" s="2" t="s">
        <v>48</v>
      </c>
      <c r="I254" s="3">
        <v>46303.41666666667</v>
      </c>
      <c r="J254" s="2" t="s">
        <v>42</v>
      </c>
      <c r="K254" s="2" t="s">
        <v>368</v>
      </c>
      <c r="L254" s="10" t="s">
        <v>369</v>
      </c>
      <c r="M254" s="5" t="str">
        <f>IF(AND(ISNUMBER(N254),ISNUMBER(L254),L254&gt;0),ROUND(N254/L254,2),"")</f>
        <v/>
      </c>
      <c r="N254" s="6">
        <v>47523</v>
      </c>
      <c r="O254" s="7">
        <v>67890</v>
      </c>
      <c r="P254" s="8">
        <f>IF(AND(ISNUMBER(N254),ISNUMBER(O254),O254&gt;0),N254/O254,"")</f>
        <v>0.7</v>
      </c>
      <c r="Q254" s="2" t="s">
        <v>370</v>
      </c>
      <c r="R254" s="9" t="s">
        <v>681</v>
      </c>
    </row>
    <row r="255" spans="1:18" x14ac:dyDescent="0.25">
      <c r="A255" s="2" t="s">
        <v>34</v>
      </c>
      <c r="B255" s="2" t="s">
        <v>364</v>
      </c>
      <c r="C255" s="2" t="s">
        <v>365</v>
      </c>
      <c r="D255" s="2" t="s">
        <v>682</v>
      </c>
      <c r="E255" s="2" t="s">
        <v>367</v>
      </c>
      <c r="F255" s="2" t="s">
        <v>73</v>
      </c>
      <c r="G255" s="2" t="s">
        <v>119</v>
      </c>
      <c r="H255" s="2" t="s">
        <v>48</v>
      </c>
      <c r="I255" s="3">
        <v>46303.41666666667</v>
      </c>
      <c r="J255" s="2" t="s">
        <v>42</v>
      </c>
      <c r="K255" s="2" t="s">
        <v>368</v>
      </c>
      <c r="L255" s="10" t="s">
        <v>369</v>
      </c>
      <c r="M255" s="5" t="str">
        <f>IF(AND(ISNUMBER(N255),ISNUMBER(L255),L255&gt;0),ROUND(N255/L255,2),"")</f>
        <v/>
      </c>
      <c r="N255" s="6">
        <v>47523</v>
      </c>
      <c r="O255" s="7">
        <v>67890</v>
      </c>
      <c r="P255" s="8">
        <f>IF(AND(ISNUMBER(N255),ISNUMBER(O255),O255&gt;0),N255/O255,"")</f>
        <v>0.7</v>
      </c>
      <c r="Q255" s="2" t="s">
        <v>370</v>
      </c>
      <c r="R255" s="9" t="s">
        <v>683</v>
      </c>
    </row>
    <row r="256" spans="1:18" x14ac:dyDescent="0.25">
      <c r="A256" s="2" t="s">
        <v>34</v>
      </c>
      <c r="B256" s="2" t="s">
        <v>364</v>
      </c>
      <c r="C256" s="2" t="s">
        <v>365</v>
      </c>
      <c r="D256" s="2" t="s">
        <v>684</v>
      </c>
      <c r="E256" s="2" t="s">
        <v>367</v>
      </c>
      <c r="F256" s="2" t="s">
        <v>73</v>
      </c>
      <c r="G256" s="2" t="s">
        <v>119</v>
      </c>
      <c r="H256" s="2" t="s">
        <v>48</v>
      </c>
      <c r="I256" s="3">
        <v>46303.41666666667</v>
      </c>
      <c r="J256" s="2" t="s">
        <v>42</v>
      </c>
      <c r="K256" s="2" t="s">
        <v>368</v>
      </c>
      <c r="L256" s="10" t="s">
        <v>369</v>
      </c>
      <c r="M256" s="5" t="str">
        <f>IF(AND(ISNUMBER(N256),ISNUMBER(L256),L256&gt;0),ROUND(N256/L256,2),"")</f>
        <v/>
      </c>
      <c r="N256" s="6">
        <v>47523</v>
      </c>
      <c r="O256" s="7">
        <v>67890</v>
      </c>
      <c r="P256" s="8">
        <f>IF(AND(ISNUMBER(N256),ISNUMBER(O256),O256&gt;0),N256/O256,"")</f>
        <v>0.7</v>
      </c>
      <c r="Q256" s="2" t="s">
        <v>370</v>
      </c>
      <c r="R256" s="9" t="s">
        <v>685</v>
      </c>
    </row>
    <row r="257" spans="1:18" x14ac:dyDescent="0.25">
      <c r="A257" s="2" t="s">
        <v>34</v>
      </c>
      <c r="B257" s="2" t="s">
        <v>364</v>
      </c>
      <c r="C257" s="2" t="s">
        <v>388</v>
      </c>
      <c r="D257" s="2" t="s">
        <v>686</v>
      </c>
      <c r="E257" s="2" t="s">
        <v>687</v>
      </c>
      <c r="F257" s="2" t="s">
        <v>39</v>
      </c>
      <c r="G257" s="2" t="s">
        <v>119</v>
      </c>
      <c r="H257" s="2" t="s">
        <v>48</v>
      </c>
      <c r="I257" s="3">
        <v>46305.41666666667</v>
      </c>
      <c r="J257" s="2" t="s">
        <v>42</v>
      </c>
      <c r="K257" s="2" t="s">
        <v>513</v>
      </c>
      <c r="L257" s="4">
        <v>187.44</v>
      </c>
      <c r="M257" s="5">
        <f>IF(AND(ISNUMBER(N257),ISNUMBER(L257),L257&gt;0),ROUND(N257/L257,2),"")</f>
        <v>5375.11</v>
      </c>
      <c r="N257" s="6">
        <v>1007510</v>
      </c>
      <c r="O257" s="7">
        <v>1439300</v>
      </c>
      <c r="P257" s="8">
        <f>IF(AND(ISNUMBER(N257),ISNUMBER(O257),O257&gt;0),N257/O257,"")</f>
        <v>0.7</v>
      </c>
      <c r="Q257" s="9" t="s">
        <v>7</v>
      </c>
      <c r="R257" s="9" t="s">
        <v>688</v>
      </c>
    </row>
    <row r="258" spans="1:18" x14ac:dyDescent="0.25">
      <c r="A258" s="2" t="s">
        <v>34</v>
      </c>
      <c r="B258" s="2" t="s">
        <v>364</v>
      </c>
      <c r="C258" s="2" t="s">
        <v>365</v>
      </c>
      <c r="D258" s="2" t="s">
        <v>689</v>
      </c>
      <c r="E258" s="2" t="s">
        <v>367</v>
      </c>
      <c r="F258" s="2" t="s">
        <v>73</v>
      </c>
      <c r="G258" s="2" t="s">
        <v>119</v>
      </c>
      <c r="H258" s="2" t="s">
        <v>48</v>
      </c>
      <c r="I258" s="3">
        <v>46303.41666666667</v>
      </c>
      <c r="J258" s="2" t="s">
        <v>42</v>
      </c>
      <c r="K258" s="2" t="s">
        <v>368</v>
      </c>
      <c r="L258" s="10" t="s">
        <v>369</v>
      </c>
      <c r="M258" s="5" t="str">
        <f>IF(AND(ISNUMBER(N258),ISNUMBER(L258),L258&gt;0),ROUND(N258/L258,2),"")</f>
        <v/>
      </c>
      <c r="N258" s="6">
        <v>47523</v>
      </c>
      <c r="O258" s="7">
        <v>67890</v>
      </c>
      <c r="P258" s="8">
        <f>IF(AND(ISNUMBER(N258),ISNUMBER(O258),O258&gt;0),N258/O258,"")</f>
        <v>0.7</v>
      </c>
      <c r="Q258" s="2" t="s">
        <v>370</v>
      </c>
      <c r="R258" s="9" t="s">
        <v>690</v>
      </c>
    </row>
    <row r="259" spans="1:18" x14ac:dyDescent="0.25">
      <c r="A259" s="2" t="s">
        <v>34</v>
      </c>
      <c r="B259" s="2" t="s">
        <v>364</v>
      </c>
      <c r="C259" s="2" t="s">
        <v>365</v>
      </c>
      <c r="D259" s="2" t="s">
        <v>691</v>
      </c>
      <c r="E259" s="2" t="s">
        <v>367</v>
      </c>
      <c r="F259" s="2" t="s">
        <v>73</v>
      </c>
      <c r="G259" s="2" t="s">
        <v>119</v>
      </c>
      <c r="H259" s="2" t="s">
        <v>48</v>
      </c>
      <c r="I259" s="3">
        <v>46303.41666666667</v>
      </c>
      <c r="J259" s="2" t="s">
        <v>42</v>
      </c>
      <c r="K259" s="2" t="s">
        <v>368</v>
      </c>
      <c r="L259" s="10" t="s">
        <v>369</v>
      </c>
      <c r="M259" s="5" t="str">
        <f>IF(AND(ISNUMBER(N259),ISNUMBER(L259),L259&gt;0),ROUND(N259/L259,2),"")</f>
        <v/>
      </c>
      <c r="N259" s="6">
        <v>47523</v>
      </c>
      <c r="O259" s="7">
        <v>67890</v>
      </c>
      <c r="P259" s="8">
        <f>IF(AND(ISNUMBER(N259),ISNUMBER(O259),O259&gt;0),N259/O259,"")</f>
        <v>0.7</v>
      </c>
      <c r="Q259" s="2" t="s">
        <v>370</v>
      </c>
      <c r="R259" s="9" t="s">
        <v>692</v>
      </c>
    </row>
    <row r="260" spans="1:18" x14ac:dyDescent="0.25">
      <c r="A260" s="2" t="s">
        <v>34</v>
      </c>
      <c r="B260" s="2" t="s">
        <v>364</v>
      </c>
      <c r="C260" s="2" t="s">
        <v>365</v>
      </c>
      <c r="D260" s="2" t="s">
        <v>693</v>
      </c>
      <c r="E260" s="2" t="s">
        <v>367</v>
      </c>
      <c r="F260" s="2" t="s">
        <v>73</v>
      </c>
      <c r="G260" s="2" t="s">
        <v>119</v>
      </c>
      <c r="H260" s="2" t="s">
        <v>48</v>
      </c>
      <c r="I260" s="3">
        <v>46303.41666666667</v>
      </c>
      <c r="J260" s="2" t="s">
        <v>42</v>
      </c>
      <c r="K260" s="2" t="s">
        <v>368</v>
      </c>
      <c r="L260" s="10" t="s">
        <v>369</v>
      </c>
      <c r="M260" s="5" t="str">
        <f>IF(AND(ISNUMBER(N260),ISNUMBER(L260),L260&gt;0),ROUND(N260/L260,2),"")</f>
        <v/>
      </c>
      <c r="N260" s="6">
        <v>47523</v>
      </c>
      <c r="O260" s="7">
        <v>67890</v>
      </c>
      <c r="P260" s="8">
        <f>IF(AND(ISNUMBER(N260),ISNUMBER(O260),O260&gt;0),N260/O260,"")</f>
        <v>0.7</v>
      </c>
      <c r="Q260" s="2" t="s">
        <v>370</v>
      </c>
      <c r="R260" s="9" t="s">
        <v>694</v>
      </c>
    </row>
    <row r="261" spans="1:18" x14ac:dyDescent="0.25">
      <c r="A261" s="2" t="s">
        <v>34</v>
      </c>
      <c r="B261" s="2" t="s">
        <v>364</v>
      </c>
      <c r="C261" s="2" t="s">
        <v>365</v>
      </c>
      <c r="D261" s="2" t="s">
        <v>695</v>
      </c>
      <c r="E261" s="2" t="s">
        <v>367</v>
      </c>
      <c r="F261" s="2" t="s">
        <v>73</v>
      </c>
      <c r="G261" s="2" t="s">
        <v>119</v>
      </c>
      <c r="H261" s="2" t="s">
        <v>48</v>
      </c>
      <c r="I261" s="3">
        <v>46303.41666666667</v>
      </c>
      <c r="J261" s="2" t="s">
        <v>42</v>
      </c>
      <c r="K261" s="2" t="s">
        <v>368</v>
      </c>
      <c r="L261" s="10" t="s">
        <v>369</v>
      </c>
      <c r="M261" s="5" t="str">
        <f>IF(AND(ISNUMBER(N261),ISNUMBER(L261),L261&gt;0),ROUND(N261/L261,2),"")</f>
        <v/>
      </c>
      <c r="N261" s="6">
        <v>47523</v>
      </c>
      <c r="O261" s="7">
        <v>67890</v>
      </c>
      <c r="P261" s="8">
        <f>IF(AND(ISNUMBER(N261),ISNUMBER(O261),O261&gt;0),N261/O261,"")</f>
        <v>0.7</v>
      </c>
      <c r="Q261" s="2" t="s">
        <v>370</v>
      </c>
      <c r="R261" s="9" t="s">
        <v>696</v>
      </c>
    </row>
    <row r="262" spans="1:18" x14ac:dyDescent="0.25">
      <c r="A262" s="2" t="s">
        <v>34</v>
      </c>
      <c r="B262" s="2" t="s">
        <v>364</v>
      </c>
      <c r="C262" s="2" t="s">
        <v>365</v>
      </c>
      <c r="D262" s="2" t="s">
        <v>697</v>
      </c>
      <c r="E262" s="2" t="s">
        <v>367</v>
      </c>
      <c r="F262" s="2" t="s">
        <v>73</v>
      </c>
      <c r="G262" s="2" t="s">
        <v>119</v>
      </c>
      <c r="H262" s="2" t="s">
        <v>48</v>
      </c>
      <c r="I262" s="3">
        <v>46303.41666666667</v>
      </c>
      <c r="J262" s="2" t="s">
        <v>42</v>
      </c>
      <c r="K262" s="2" t="s">
        <v>368</v>
      </c>
      <c r="L262" s="10" t="s">
        <v>369</v>
      </c>
      <c r="M262" s="5" t="str">
        <f>IF(AND(ISNUMBER(N262),ISNUMBER(L262),L262&gt;0),ROUND(N262/L262,2),"")</f>
        <v/>
      </c>
      <c r="N262" s="6">
        <v>47523</v>
      </c>
      <c r="O262" s="7">
        <v>67890</v>
      </c>
      <c r="P262" s="8">
        <f>IF(AND(ISNUMBER(N262),ISNUMBER(O262),O262&gt;0),N262/O262,"")</f>
        <v>0.7</v>
      </c>
      <c r="Q262" s="2" t="s">
        <v>370</v>
      </c>
      <c r="R262" s="9" t="s">
        <v>698</v>
      </c>
    </row>
    <row r="263" spans="1:18" x14ac:dyDescent="0.25">
      <c r="A263" s="2" t="s">
        <v>34</v>
      </c>
      <c r="B263" s="2" t="s">
        <v>364</v>
      </c>
      <c r="C263" s="2" t="s">
        <v>365</v>
      </c>
      <c r="D263" s="2" t="s">
        <v>699</v>
      </c>
      <c r="E263" s="2" t="s">
        <v>367</v>
      </c>
      <c r="F263" s="2" t="s">
        <v>73</v>
      </c>
      <c r="G263" s="2" t="s">
        <v>119</v>
      </c>
      <c r="H263" s="2" t="s">
        <v>48</v>
      </c>
      <c r="I263" s="3">
        <v>46303.41666666667</v>
      </c>
      <c r="J263" s="2" t="s">
        <v>42</v>
      </c>
      <c r="K263" s="2" t="s">
        <v>368</v>
      </c>
      <c r="L263" s="10" t="s">
        <v>369</v>
      </c>
      <c r="M263" s="5" t="str">
        <f>IF(AND(ISNUMBER(N263),ISNUMBER(L263),L263&gt;0),ROUND(N263/L263,2),"")</f>
        <v/>
      </c>
      <c r="N263" s="6">
        <v>47523</v>
      </c>
      <c r="O263" s="7">
        <v>67890</v>
      </c>
      <c r="P263" s="8">
        <f>IF(AND(ISNUMBER(N263),ISNUMBER(O263),O263&gt;0),N263/O263,"")</f>
        <v>0.7</v>
      </c>
      <c r="Q263" s="2" t="s">
        <v>370</v>
      </c>
      <c r="R263" s="9" t="s">
        <v>700</v>
      </c>
    </row>
    <row r="264" spans="1:18" x14ac:dyDescent="0.25">
      <c r="A264" s="2" t="s">
        <v>34</v>
      </c>
      <c r="B264" s="2" t="s">
        <v>364</v>
      </c>
      <c r="C264" s="2" t="s">
        <v>365</v>
      </c>
      <c r="D264" s="2" t="s">
        <v>701</v>
      </c>
      <c r="E264" s="2" t="s">
        <v>702</v>
      </c>
      <c r="F264" s="2" t="s">
        <v>39</v>
      </c>
      <c r="G264" s="2" t="s">
        <v>119</v>
      </c>
      <c r="H264" s="2" t="s">
        <v>48</v>
      </c>
      <c r="I264" s="3">
        <v>46303.41666666667</v>
      </c>
      <c r="J264" s="2" t="s">
        <v>42</v>
      </c>
      <c r="K264" s="2" t="s">
        <v>368</v>
      </c>
      <c r="L264" s="4">
        <v>327.43</v>
      </c>
      <c r="M264" s="5">
        <f>IF(AND(ISNUMBER(N264),ISNUMBER(L264),L264&gt;0),ROUND(N264/L264,2),"")</f>
        <v>1234.19</v>
      </c>
      <c r="N264" s="6">
        <v>404110</v>
      </c>
      <c r="O264" s="7">
        <v>577300</v>
      </c>
      <c r="P264" s="8">
        <f>IF(AND(ISNUMBER(N264),ISNUMBER(O264),O264&gt;0),N264/O264,"")</f>
        <v>0.7</v>
      </c>
      <c r="Q264" s="9" t="s">
        <v>7</v>
      </c>
      <c r="R264" s="9" t="s">
        <v>703</v>
      </c>
    </row>
    <row r="265" spans="1:18" x14ac:dyDescent="0.25">
      <c r="A265" s="2" t="s">
        <v>34</v>
      </c>
      <c r="B265" s="2" t="s">
        <v>364</v>
      </c>
      <c r="C265" s="2" t="s">
        <v>365</v>
      </c>
      <c r="D265" s="2" t="s">
        <v>704</v>
      </c>
      <c r="E265" s="2" t="s">
        <v>367</v>
      </c>
      <c r="F265" s="2" t="s">
        <v>73</v>
      </c>
      <c r="G265" s="2" t="s">
        <v>119</v>
      </c>
      <c r="H265" s="2" t="s">
        <v>48</v>
      </c>
      <c r="I265" s="3">
        <v>46303.41666666667</v>
      </c>
      <c r="J265" s="2" t="s">
        <v>42</v>
      </c>
      <c r="K265" s="2" t="s">
        <v>368</v>
      </c>
      <c r="L265" s="10" t="s">
        <v>369</v>
      </c>
      <c r="M265" s="5" t="str">
        <f>IF(AND(ISNUMBER(N265),ISNUMBER(L265),L265&gt;0),ROUND(N265/L265,2),"")</f>
        <v/>
      </c>
      <c r="N265" s="6">
        <v>47523</v>
      </c>
      <c r="O265" s="7">
        <v>67890</v>
      </c>
      <c r="P265" s="8">
        <f>IF(AND(ISNUMBER(N265),ISNUMBER(O265),O265&gt;0),N265/O265,"")</f>
        <v>0.7</v>
      </c>
      <c r="Q265" s="2" t="s">
        <v>370</v>
      </c>
      <c r="R265" s="9" t="s">
        <v>705</v>
      </c>
    </row>
    <row r="266" spans="1:18" x14ac:dyDescent="0.25">
      <c r="A266" s="2" t="s">
        <v>34</v>
      </c>
      <c r="B266" s="2" t="s">
        <v>364</v>
      </c>
      <c r="C266" s="2" t="s">
        <v>365</v>
      </c>
      <c r="D266" s="2" t="s">
        <v>706</v>
      </c>
      <c r="E266" s="2" t="s">
        <v>367</v>
      </c>
      <c r="F266" s="2" t="s">
        <v>73</v>
      </c>
      <c r="G266" s="2" t="s">
        <v>119</v>
      </c>
      <c r="H266" s="2" t="s">
        <v>48</v>
      </c>
      <c r="I266" s="3">
        <v>46303.41666666667</v>
      </c>
      <c r="J266" s="2" t="s">
        <v>42</v>
      </c>
      <c r="K266" s="2" t="s">
        <v>368</v>
      </c>
      <c r="L266" s="10" t="s">
        <v>369</v>
      </c>
      <c r="M266" s="5" t="str">
        <f>IF(AND(ISNUMBER(N266),ISNUMBER(L266),L266&gt;0),ROUND(N266/L266,2),"")</f>
        <v/>
      </c>
      <c r="N266" s="6">
        <v>47523</v>
      </c>
      <c r="O266" s="7">
        <v>67890</v>
      </c>
      <c r="P266" s="8">
        <f>IF(AND(ISNUMBER(N266),ISNUMBER(O266),O266&gt;0),N266/O266,"")</f>
        <v>0.7</v>
      </c>
      <c r="Q266" s="2" t="s">
        <v>370</v>
      </c>
      <c r="R266" s="9" t="s">
        <v>707</v>
      </c>
    </row>
    <row r="267" spans="1:18" x14ac:dyDescent="0.25">
      <c r="A267" s="2" t="s">
        <v>34</v>
      </c>
      <c r="B267" s="2" t="s">
        <v>364</v>
      </c>
      <c r="C267" s="2" t="s">
        <v>365</v>
      </c>
      <c r="D267" s="2" t="s">
        <v>708</v>
      </c>
      <c r="E267" s="2" t="s">
        <v>367</v>
      </c>
      <c r="F267" s="2" t="s">
        <v>73</v>
      </c>
      <c r="G267" s="2" t="s">
        <v>119</v>
      </c>
      <c r="H267" s="2" t="s">
        <v>48</v>
      </c>
      <c r="I267" s="3">
        <v>46303.41666666667</v>
      </c>
      <c r="J267" s="2" t="s">
        <v>42</v>
      </c>
      <c r="K267" s="2" t="s">
        <v>368</v>
      </c>
      <c r="L267" s="10" t="s">
        <v>369</v>
      </c>
      <c r="M267" s="5" t="str">
        <f>IF(AND(ISNUMBER(N267),ISNUMBER(L267),L267&gt;0),ROUND(N267/L267,2),"")</f>
        <v/>
      </c>
      <c r="N267" s="6">
        <v>47523</v>
      </c>
      <c r="O267" s="7">
        <v>67890</v>
      </c>
      <c r="P267" s="8">
        <f>IF(AND(ISNUMBER(N267),ISNUMBER(O267),O267&gt;0),N267/O267,"")</f>
        <v>0.7</v>
      </c>
      <c r="Q267" s="2" t="s">
        <v>370</v>
      </c>
      <c r="R267" s="9" t="s">
        <v>709</v>
      </c>
    </row>
    <row r="268" spans="1:18" x14ac:dyDescent="0.25">
      <c r="A268" s="2" t="s">
        <v>34</v>
      </c>
      <c r="B268" s="2" t="s">
        <v>364</v>
      </c>
      <c r="C268" s="2" t="s">
        <v>365</v>
      </c>
      <c r="D268" s="2" t="s">
        <v>710</v>
      </c>
      <c r="E268" s="2" t="s">
        <v>367</v>
      </c>
      <c r="F268" s="2" t="s">
        <v>73</v>
      </c>
      <c r="G268" s="2" t="s">
        <v>119</v>
      </c>
      <c r="H268" s="2" t="s">
        <v>48</v>
      </c>
      <c r="I268" s="3">
        <v>46303.41666666667</v>
      </c>
      <c r="J268" s="2" t="s">
        <v>42</v>
      </c>
      <c r="K268" s="2" t="s">
        <v>368</v>
      </c>
      <c r="L268" s="10" t="s">
        <v>369</v>
      </c>
      <c r="M268" s="5" t="str">
        <f>IF(AND(ISNUMBER(N268),ISNUMBER(L268),L268&gt;0),ROUND(N268/L268,2),"")</f>
        <v/>
      </c>
      <c r="N268" s="6">
        <v>47523</v>
      </c>
      <c r="O268" s="7">
        <v>67890</v>
      </c>
      <c r="P268" s="8">
        <f>IF(AND(ISNUMBER(N268),ISNUMBER(O268),O268&gt;0),N268/O268,"")</f>
        <v>0.7</v>
      </c>
      <c r="Q268" s="2" t="s">
        <v>370</v>
      </c>
      <c r="R268" s="9" t="s">
        <v>711</v>
      </c>
    </row>
    <row r="269" spans="1:18" x14ac:dyDescent="0.25">
      <c r="A269" s="2" t="s">
        <v>34</v>
      </c>
      <c r="B269" s="2" t="s">
        <v>364</v>
      </c>
      <c r="C269" s="2" t="s">
        <v>365</v>
      </c>
      <c r="D269" s="2" t="s">
        <v>712</v>
      </c>
      <c r="E269" s="2" t="s">
        <v>367</v>
      </c>
      <c r="F269" s="2" t="s">
        <v>73</v>
      </c>
      <c r="G269" s="2" t="s">
        <v>119</v>
      </c>
      <c r="H269" s="2" t="s">
        <v>48</v>
      </c>
      <c r="I269" s="3">
        <v>46303.41666666667</v>
      </c>
      <c r="J269" s="2" t="s">
        <v>42</v>
      </c>
      <c r="K269" s="2" t="s">
        <v>368</v>
      </c>
      <c r="L269" s="10" t="s">
        <v>369</v>
      </c>
      <c r="M269" s="5" t="str">
        <f>IF(AND(ISNUMBER(N269),ISNUMBER(L269),L269&gt;0),ROUND(N269/L269,2),"")</f>
        <v/>
      </c>
      <c r="N269" s="6">
        <v>48949</v>
      </c>
      <c r="O269" s="7">
        <v>69927</v>
      </c>
      <c r="P269" s="8">
        <f>IF(AND(ISNUMBER(N269),ISNUMBER(O269),O269&gt;0),N269/O269,"")</f>
        <v>0.7000014300627797</v>
      </c>
      <c r="Q269" s="2" t="s">
        <v>370</v>
      </c>
      <c r="R269" s="9" t="s">
        <v>713</v>
      </c>
    </row>
    <row r="270" spans="1:18" x14ac:dyDescent="0.25">
      <c r="A270" s="2" t="s">
        <v>34</v>
      </c>
      <c r="B270" s="2" t="s">
        <v>364</v>
      </c>
      <c r="C270" s="2" t="s">
        <v>365</v>
      </c>
      <c r="D270" s="2" t="s">
        <v>714</v>
      </c>
      <c r="E270" s="2" t="s">
        <v>367</v>
      </c>
      <c r="F270" s="2" t="s">
        <v>73</v>
      </c>
      <c r="G270" s="2" t="s">
        <v>119</v>
      </c>
      <c r="H270" s="2" t="s">
        <v>48</v>
      </c>
      <c r="I270" s="3">
        <v>46303.41666666667</v>
      </c>
      <c r="J270" s="2" t="s">
        <v>42</v>
      </c>
      <c r="K270" s="2" t="s">
        <v>368</v>
      </c>
      <c r="L270" s="10" t="s">
        <v>369</v>
      </c>
      <c r="M270" s="5" t="str">
        <f>IF(AND(ISNUMBER(N270),ISNUMBER(L270),L270&gt;0),ROUND(N270/L270,2),"")</f>
        <v/>
      </c>
      <c r="N270" s="6">
        <v>48949</v>
      </c>
      <c r="O270" s="7">
        <v>69927</v>
      </c>
      <c r="P270" s="8">
        <f>IF(AND(ISNUMBER(N270),ISNUMBER(O270),O270&gt;0),N270/O270,"")</f>
        <v>0.7000014300627797</v>
      </c>
      <c r="Q270" s="2" t="s">
        <v>370</v>
      </c>
      <c r="R270" s="9" t="s">
        <v>715</v>
      </c>
    </row>
    <row r="271" spans="1:18" x14ac:dyDescent="0.25">
      <c r="A271" s="2" t="s">
        <v>34</v>
      </c>
      <c r="B271" s="2" t="s">
        <v>364</v>
      </c>
      <c r="C271" s="2" t="s">
        <v>365</v>
      </c>
      <c r="D271" s="2" t="s">
        <v>716</v>
      </c>
      <c r="E271" s="2" t="s">
        <v>367</v>
      </c>
      <c r="F271" s="2" t="s">
        <v>73</v>
      </c>
      <c r="G271" s="2" t="s">
        <v>119</v>
      </c>
      <c r="H271" s="2" t="s">
        <v>48</v>
      </c>
      <c r="I271" s="3">
        <v>46303.41666666667</v>
      </c>
      <c r="J271" s="2" t="s">
        <v>42</v>
      </c>
      <c r="K271" s="2" t="s">
        <v>368</v>
      </c>
      <c r="L271" s="10" t="s">
        <v>369</v>
      </c>
      <c r="M271" s="5" t="str">
        <f>IF(AND(ISNUMBER(N271),ISNUMBER(L271),L271&gt;0),ROUND(N271/L271,2),"")</f>
        <v/>
      </c>
      <c r="N271" s="6">
        <v>47523</v>
      </c>
      <c r="O271" s="7">
        <v>67890</v>
      </c>
      <c r="P271" s="8">
        <f>IF(AND(ISNUMBER(N271),ISNUMBER(O271),O271&gt;0),N271/O271,"")</f>
        <v>0.7</v>
      </c>
      <c r="Q271" s="2" t="s">
        <v>370</v>
      </c>
      <c r="R271" s="9" t="s">
        <v>717</v>
      </c>
    </row>
    <row r="272" spans="1:18" x14ac:dyDescent="0.25">
      <c r="A272" s="2" t="s">
        <v>34</v>
      </c>
      <c r="B272" s="2" t="s">
        <v>364</v>
      </c>
      <c r="C272" s="2" t="s">
        <v>365</v>
      </c>
      <c r="D272" s="2" t="s">
        <v>718</v>
      </c>
      <c r="E272" s="2" t="s">
        <v>367</v>
      </c>
      <c r="F272" s="2" t="s">
        <v>73</v>
      </c>
      <c r="G272" s="2" t="s">
        <v>119</v>
      </c>
      <c r="H272" s="2" t="s">
        <v>48</v>
      </c>
      <c r="I272" s="3">
        <v>46303.41666666667</v>
      </c>
      <c r="J272" s="2" t="s">
        <v>42</v>
      </c>
      <c r="K272" s="2" t="s">
        <v>368</v>
      </c>
      <c r="L272" s="10" t="s">
        <v>369</v>
      </c>
      <c r="M272" s="5" t="str">
        <f>IF(AND(ISNUMBER(N272),ISNUMBER(L272),L272&gt;0),ROUND(N272/L272,2),"")</f>
        <v/>
      </c>
      <c r="N272" s="6">
        <v>47523</v>
      </c>
      <c r="O272" s="7">
        <v>67890</v>
      </c>
      <c r="P272" s="8">
        <f>IF(AND(ISNUMBER(N272),ISNUMBER(O272),O272&gt;0),N272/O272,"")</f>
        <v>0.7</v>
      </c>
      <c r="Q272" s="2" t="s">
        <v>370</v>
      </c>
      <c r="R272" s="9" t="s">
        <v>719</v>
      </c>
    </row>
    <row r="273" spans="1:18" x14ac:dyDescent="0.25">
      <c r="A273" s="2" t="s">
        <v>34</v>
      </c>
      <c r="B273" s="2" t="s">
        <v>364</v>
      </c>
      <c r="C273" s="2" t="s">
        <v>365</v>
      </c>
      <c r="D273" s="2" t="s">
        <v>720</v>
      </c>
      <c r="E273" s="2" t="s">
        <v>367</v>
      </c>
      <c r="F273" s="2" t="s">
        <v>73</v>
      </c>
      <c r="G273" s="2" t="s">
        <v>119</v>
      </c>
      <c r="H273" s="2" t="s">
        <v>48</v>
      </c>
      <c r="I273" s="3">
        <v>46303.41666666667</v>
      </c>
      <c r="J273" s="2" t="s">
        <v>42</v>
      </c>
      <c r="K273" s="2" t="s">
        <v>368</v>
      </c>
      <c r="L273" s="10" t="s">
        <v>369</v>
      </c>
      <c r="M273" s="5" t="str">
        <f>IF(AND(ISNUMBER(N273),ISNUMBER(L273),L273&gt;0),ROUND(N273/L273,2),"")</f>
        <v/>
      </c>
      <c r="N273" s="6">
        <v>47523</v>
      </c>
      <c r="O273" s="7">
        <v>67890</v>
      </c>
      <c r="P273" s="8">
        <f>IF(AND(ISNUMBER(N273),ISNUMBER(O273),O273&gt;0),N273/O273,"")</f>
        <v>0.7</v>
      </c>
      <c r="Q273" s="2" t="s">
        <v>370</v>
      </c>
      <c r="R273" s="9" t="s">
        <v>721</v>
      </c>
    </row>
    <row r="274" spans="1:18" x14ac:dyDescent="0.25">
      <c r="A274" s="2" t="s">
        <v>34</v>
      </c>
      <c r="B274" s="2" t="s">
        <v>364</v>
      </c>
      <c r="C274" s="2" t="s">
        <v>365</v>
      </c>
      <c r="D274" s="2" t="s">
        <v>722</v>
      </c>
      <c r="E274" s="2" t="s">
        <v>367</v>
      </c>
      <c r="F274" s="2" t="s">
        <v>73</v>
      </c>
      <c r="G274" s="2" t="s">
        <v>119</v>
      </c>
      <c r="H274" s="2" t="s">
        <v>48</v>
      </c>
      <c r="I274" s="3">
        <v>46303.41666666667</v>
      </c>
      <c r="J274" s="2" t="s">
        <v>42</v>
      </c>
      <c r="K274" s="2" t="s">
        <v>368</v>
      </c>
      <c r="L274" s="10" t="s">
        <v>369</v>
      </c>
      <c r="M274" s="5" t="str">
        <f>IF(AND(ISNUMBER(N274),ISNUMBER(L274),L274&gt;0),ROUND(N274/L274,2),"")</f>
        <v/>
      </c>
      <c r="N274" s="6">
        <v>47523</v>
      </c>
      <c r="O274" s="7">
        <v>67890</v>
      </c>
      <c r="P274" s="8">
        <f>IF(AND(ISNUMBER(N274),ISNUMBER(O274),O274&gt;0),N274/O274,"")</f>
        <v>0.7</v>
      </c>
      <c r="Q274" s="2" t="s">
        <v>370</v>
      </c>
      <c r="R274" s="9" t="s">
        <v>723</v>
      </c>
    </row>
    <row r="275" spans="1:18" x14ac:dyDescent="0.25">
      <c r="A275" s="2" t="s">
        <v>34</v>
      </c>
      <c r="B275" s="2" t="s">
        <v>364</v>
      </c>
      <c r="C275" s="2" t="s">
        <v>365</v>
      </c>
      <c r="D275" s="2" t="s">
        <v>724</v>
      </c>
      <c r="E275" s="2" t="s">
        <v>367</v>
      </c>
      <c r="F275" s="2" t="s">
        <v>73</v>
      </c>
      <c r="G275" s="2" t="s">
        <v>119</v>
      </c>
      <c r="H275" s="2" t="s">
        <v>48</v>
      </c>
      <c r="I275" s="3">
        <v>46303.41666666667</v>
      </c>
      <c r="J275" s="2" t="s">
        <v>42</v>
      </c>
      <c r="K275" s="2" t="s">
        <v>368</v>
      </c>
      <c r="L275" s="10" t="s">
        <v>369</v>
      </c>
      <c r="M275" s="5" t="str">
        <f>IF(AND(ISNUMBER(N275),ISNUMBER(L275),L275&gt;0),ROUND(N275/L275,2),"")</f>
        <v/>
      </c>
      <c r="N275" s="6">
        <v>47523</v>
      </c>
      <c r="O275" s="7">
        <v>67890</v>
      </c>
      <c r="P275" s="8">
        <f>IF(AND(ISNUMBER(N275),ISNUMBER(O275),O275&gt;0),N275/O275,"")</f>
        <v>0.7</v>
      </c>
      <c r="Q275" s="2" t="s">
        <v>370</v>
      </c>
      <c r="R275" s="9" t="s">
        <v>725</v>
      </c>
    </row>
    <row r="276" spans="1:18" x14ac:dyDescent="0.25">
      <c r="A276" s="2" t="s">
        <v>34</v>
      </c>
      <c r="B276" s="2" t="s">
        <v>364</v>
      </c>
      <c r="C276" s="2" t="s">
        <v>365</v>
      </c>
      <c r="D276" s="2" t="s">
        <v>726</v>
      </c>
      <c r="E276" s="2" t="s">
        <v>367</v>
      </c>
      <c r="F276" s="2" t="s">
        <v>73</v>
      </c>
      <c r="G276" s="2" t="s">
        <v>119</v>
      </c>
      <c r="H276" s="2" t="s">
        <v>48</v>
      </c>
      <c r="I276" s="3">
        <v>46303.41666666667</v>
      </c>
      <c r="J276" s="2" t="s">
        <v>42</v>
      </c>
      <c r="K276" s="2" t="s">
        <v>368</v>
      </c>
      <c r="L276" s="10" t="s">
        <v>369</v>
      </c>
      <c r="M276" s="5" t="str">
        <f>IF(AND(ISNUMBER(N276),ISNUMBER(L276),L276&gt;0),ROUND(N276/L276,2),"")</f>
        <v/>
      </c>
      <c r="N276" s="6">
        <v>47523</v>
      </c>
      <c r="O276" s="7">
        <v>67890</v>
      </c>
      <c r="P276" s="8">
        <f>IF(AND(ISNUMBER(N276),ISNUMBER(O276),O276&gt;0),N276/O276,"")</f>
        <v>0.7</v>
      </c>
      <c r="Q276" s="2" t="s">
        <v>370</v>
      </c>
      <c r="R276" s="9" t="s">
        <v>727</v>
      </c>
    </row>
    <row r="277" spans="1:18" x14ac:dyDescent="0.25">
      <c r="A277" s="2" t="s">
        <v>34</v>
      </c>
      <c r="B277" s="2" t="s">
        <v>364</v>
      </c>
      <c r="C277" s="2" t="s">
        <v>365</v>
      </c>
      <c r="D277" s="2" t="s">
        <v>728</v>
      </c>
      <c r="E277" s="2" t="s">
        <v>367</v>
      </c>
      <c r="F277" s="2" t="s">
        <v>73</v>
      </c>
      <c r="G277" s="2" t="s">
        <v>119</v>
      </c>
      <c r="H277" s="2" t="s">
        <v>48</v>
      </c>
      <c r="I277" s="3">
        <v>46303.41666666667</v>
      </c>
      <c r="J277" s="2" t="s">
        <v>42</v>
      </c>
      <c r="K277" s="2" t="s">
        <v>368</v>
      </c>
      <c r="L277" s="10" t="s">
        <v>369</v>
      </c>
      <c r="M277" s="5" t="str">
        <f>IF(AND(ISNUMBER(N277),ISNUMBER(L277),L277&gt;0),ROUND(N277/L277,2),"")</f>
        <v/>
      </c>
      <c r="N277" s="6">
        <v>47523</v>
      </c>
      <c r="O277" s="7">
        <v>67890</v>
      </c>
      <c r="P277" s="8">
        <f>IF(AND(ISNUMBER(N277),ISNUMBER(O277),O277&gt;0),N277/O277,"")</f>
        <v>0.7</v>
      </c>
      <c r="Q277" s="2" t="s">
        <v>370</v>
      </c>
      <c r="R277" s="9" t="s">
        <v>729</v>
      </c>
    </row>
    <row r="278" spans="1:18" x14ac:dyDescent="0.25">
      <c r="A278" s="2" t="s">
        <v>34</v>
      </c>
      <c r="B278" s="2" t="s">
        <v>364</v>
      </c>
      <c r="C278" s="2" t="s">
        <v>365</v>
      </c>
      <c r="D278" s="2" t="s">
        <v>730</v>
      </c>
      <c r="E278" s="2" t="s">
        <v>367</v>
      </c>
      <c r="F278" s="2" t="s">
        <v>73</v>
      </c>
      <c r="G278" s="2" t="s">
        <v>119</v>
      </c>
      <c r="H278" s="2" t="s">
        <v>48</v>
      </c>
      <c r="I278" s="3">
        <v>46303.41666666667</v>
      </c>
      <c r="J278" s="2" t="s">
        <v>42</v>
      </c>
      <c r="K278" s="2" t="s">
        <v>368</v>
      </c>
      <c r="L278" s="10" t="s">
        <v>369</v>
      </c>
      <c r="M278" s="5" t="str">
        <f>IF(AND(ISNUMBER(N278),ISNUMBER(L278),L278&gt;0),ROUND(N278/L278,2),"")</f>
        <v/>
      </c>
      <c r="N278" s="6">
        <v>47523</v>
      </c>
      <c r="O278" s="7">
        <v>67890</v>
      </c>
      <c r="P278" s="8">
        <f>IF(AND(ISNUMBER(N278),ISNUMBER(O278),O278&gt;0),N278/O278,"")</f>
        <v>0.7</v>
      </c>
      <c r="Q278" s="2" t="s">
        <v>370</v>
      </c>
      <c r="R278" s="9" t="s">
        <v>731</v>
      </c>
    </row>
    <row r="279" spans="1:18" x14ac:dyDescent="0.25">
      <c r="A279" s="2" t="s">
        <v>34</v>
      </c>
      <c r="B279" s="2" t="s">
        <v>364</v>
      </c>
      <c r="C279" s="2" t="s">
        <v>365</v>
      </c>
      <c r="D279" s="2" t="s">
        <v>732</v>
      </c>
      <c r="E279" s="2" t="s">
        <v>367</v>
      </c>
      <c r="F279" s="2" t="s">
        <v>73</v>
      </c>
      <c r="G279" s="2" t="s">
        <v>119</v>
      </c>
      <c r="H279" s="2" t="s">
        <v>48</v>
      </c>
      <c r="I279" s="3">
        <v>46303.41666666667</v>
      </c>
      <c r="J279" s="2" t="s">
        <v>42</v>
      </c>
      <c r="K279" s="2" t="s">
        <v>368</v>
      </c>
      <c r="L279" s="10" t="s">
        <v>369</v>
      </c>
      <c r="M279" s="5" t="str">
        <f>IF(AND(ISNUMBER(N279),ISNUMBER(L279),L279&gt;0),ROUND(N279/L279,2),"")</f>
        <v/>
      </c>
      <c r="N279" s="6">
        <v>47523</v>
      </c>
      <c r="O279" s="7">
        <v>67890</v>
      </c>
      <c r="P279" s="8">
        <f>IF(AND(ISNUMBER(N279),ISNUMBER(O279),O279&gt;0),N279/O279,"")</f>
        <v>0.7</v>
      </c>
      <c r="Q279" s="2" t="s">
        <v>370</v>
      </c>
      <c r="R279" s="9" t="s">
        <v>733</v>
      </c>
    </row>
    <row r="280" spans="1:18" x14ac:dyDescent="0.25">
      <c r="A280" s="2" t="s">
        <v>34</v>
      </c>
      <c r="B280" s="2" t="s">
        <v>364</v>
      </c>
      <c r="C280" s="2" t="s">
        <v>365</v>
      </c>
      <c r="D280" s="2" t="s">
        <v>734</v>
      </c>
      <c r="E280" s="2" t="s">
        <v>367</v>
      </c>
      <c r="F280" s="2" t="s">
        <v>73</v>
      </c>
      <c r="G280" s="2" t="s">
        <v>119</v>
      </c>
      <c r="H280" s="2" t="s">
        <v>48</v>
      </c>
      <c r="I280" s="3">
        <v>46303.41666666667</v>
      </c>
      <c r="J280" s="2" t="s">
        <v>42</v>
      </c>
      <c r="K280" s="2" t="s">
        <v>368</v>
      </c>
      <c r="L280" s="10" t="s">
        <v>369</v>
      </c>
      <c r="M280" s="5" t="str">
        <f>IF(AND(ISNUMBER(N280),ISNUMBER(L280),L280&gt;0),ROUND(N280/L280,2),"")</f>
        <v/>
      </c>
      <c r="N280" s="6">
        <v>47523</v>
      </c>
      <c r="O280" s="7">
        <v>67890</v>
      </c>
      <c r="P280" s="8">
        <f>IF(AND(ISNUMBER(N280),ISNUMBER(O280),O280&gt;0),N280/O280,"")</f>
        <v>0.7</v>
      </c>
      <c r="Q280" s="2" t="s">
        <v>370</v>
      </c>
      <c r="R280" s="9" t="s">
        <v>735</v>
      </c>
    </row>
    <row r="281" spans="1:18" x14ac:dyDescent="0.25">
      <c r="A281" s="2" t="s">
        <v>34</v>
      </c>
      <c r="B281" s="2" t="s">
        <v>364</v>
      </c>
      <c r="C281" s="2" t="s">
        <v>585</v>
      </c>
      <c r="D281" s="2" t="s">
        <v>736</v>
      </c>
      <c r="E281" s="2" t="s">
        <v>737</v>
      </c>
      <c r="F281" s="2" t="s">
        <v>39</v>
      </c>
      <c r="G281" s="2" t="s">
        <v>119</v>
      </c>
      <c r="H281" s="2" t="s">
        <v>48</v>
      </c>
      <c r="I281" s="3">
        <v>46303.41666666667</v>
      </c>
      <c r="J281" s="2" t="s">
        <v>42</v>
      </c>
      <c r="K281" s="2" t="s">
        <v>368</v>
      </c>
      <c r="L281" s="4">
        <v>148.38</v>
      </c>
      <c r="M281" s="5">
        <f>IF(AND(ISNUMBER(N281),ISNUMBER(L281),L281&gt;0),ROUND(N281/L281,2),"")</f>
        <v>10496.7</v>
      </c>
      <c r="N281" s="6">
        <v>1557500</v>
      </c>
      <c r="O281" s="7">
        <v>2225000</v>
      </c>
      <c r="P281" s="8">
        <f>IF(AND(ISNUMBER(N281),ISNUMBER(O281),O281&gt;0),N281/O281,"")</f>
        <v>0.7</v>
      </c>
      <c r="Q281" s="2" t="s">
        <v>162</v>
      </c>
      <c r="R281" s="9" t="s">
        <v>738</v>
      </c>
    </row>
    <row r="282" spans="1:18" x14ac:dyDescent="0.25">
      <c r="A282" s="2" t="s">
        <v>34</v>
      </c>
      <c r="B282" s="2" t="s">
        <v>364</v>
      </c>
      <c r="C282" s="2" t="s">
        <v>365</v>
      </c>
      <c r="D282" s="2" t="s">
        <v>739</v>
      </c>
      <c r="E282" s="2" t="s">
        <v>367</v>
      </c>
      <c r="F282" s="2" t="s">
        <v>73</v>
      </c>
      <c r="G282" s="2" t="s">
        <v>119</v>
      </c>
      <c r="H282" s="2" t="s">
        <v>48</v>
      </c>
      <c r="I282" s="3">
        <v>46303.41666666667</v>
      </c>
      <c r="J282" s="2" t="s">
        <v>42</v>
      </c>
      <c r="K282" s="2" t="s">
        <v>368</v>
      </c>
      <c r="L282" s="10" t="s">
        <v>369</v>
      </c>
      <c r="M282" s="5" t="str">
        <f>IF(AND(ISNUMBER(N282),ISNUMBER(L282),L282&gt;0),ROUND(N282/L282,2),"")</f>
        <v/>
      </c>
      <c r="N282" s="6">
        <v>47523</v>
      </c>
      <c r="O282" s="7">
        <v>67890</v>
      </c>
      <c r="P282" s="8">
        <f>IF(AND(ISNUMBER(N282),ISNUMBER(O282),O282&gt;0),N282/O282,"")</f>
        <v>0.7</v>
      </c>
      <c r="Q282" s="2" t="s">
        <v>370</v>
      </c>
      <c r="R282" s="9" t="s">
        <v>740</v>
      </c>
    </row>
    <row r="283" spans="1:18" x14ac:dyDescent="0.25">
      <c r="A283" s="2" t="s">
        <v>34</v>
      </c>
      <c r="B283" s="2" t="s">
        <v>364</v>
      </c>
      <c r="C283" s="2" t="s">
        <v>365</v>
      </c>
      <c r="D283" s="2" t="s">
        <v>741</v>
      </c>
      <c r="E283" s="2" t="s">
        <v>367</v>
      </c>
      <c r="F283" s="2" t="s">
        <v>73</v>
      </c>
      <c r="G283" s="2" t="s">
        <v>119</v>
      </c>
      <c r="H283" s="2" t="s">
        <v>48</v>
      </c>
      <c r="I283" s="3">
        <v>46303.41666666667</v>
      </c>
      <c r="J283" s="2" t="s">
        <v>42</v>
      </c>
      <c r="K283" s="2" t="s">
        <v>368</v>
      </c>
      <c r="L283" s="10" t="s">
        <v>369</v>
      </c>
      <c r="M283" s="5" t="str">
        <f>IF(AND(ISNUMBER(N283),ISNUMBER(L283),L283&gt;0),ROUND(N283/L283,2),"")</f>
        <v/>
      </c>
      <c r="N283" s="6">
        <v>47523</v>
      </c>
      <c r="O283" s="7">
        <v>67890</v>
      </c>
      <c r="P283" s="8">
        <f>IF(AND(ISNUMBER(N283),ISNUMBER(O283),O283&gt;0),N283/O283,"")</f>
        <v>0.7</v>
      </c>
      <c r="Q283" s="2" t="s">
        <v>370</v>
      </c>
      <c r="R283" s="9" t="s">
        <v>742</v>
      </c>
    </row>
    <row r="284" spans="1:18" x14ac:dyDescent="0.25">
      <c r="A284" s="2" t="s">
        <v>34</v>
      </c>
      <c r="B284" s="2" t="s">
        <v>364</v>
      </c>
      <c r="C284" s="2" t="s">
        <v>365</v>
      </c>
      <c r="D284" s="2" t="s">
        <v>743</v>
      </c>
      <c r="E284" s="2" t="s">
        <v>367</v>
      </c>
      <c r="F284" s="2" t="s">
        <v>73</v>
      </c>
      <c r="G284" s="2" t="s">
        <v>119</v>
      </c>
      <c r="H284" s="2" t="s">
        <v>48</v>
      </c>
      <c r="I284" s="3">
        <v>46303.41666666667</v>
      </c>
      <c r="J284" s="2" t="s">
        <v>42</v>
      </c>
      <c r="K284" s="2" t="s">
        <v>368</v>
      </c>
      <c r="L284" s="10" t="s">
        <v>369</v>
      </c>
      <c r="M284" s="5" t="str">
        <f>IF(AND(ISNUMBER(N284),ISNUMBER(L284),L284&gt;0),ROUND(N284/L284,2),"")</f>
        <v/>
      </c>
      <c r="N284" s="6">
        <v>47523</v>
      </c>
      <c r="O284" s="7">
        <v>67890</v>
      </c>
      <c r="P284" s="8">
        <f>IF(AND(ISNUMBER(N284),ISNUMBER(O284),O284&gt;0),N284/O284,"")</f>
        <v>0.7</v>
      </c>
      <c r="Q284" s="2" t="s">
        <v>370</v>
      </c>
      <c r="R284" s="9" t="s">
        <v>744</v>
      </c>
    </row>
    <row r="285" spans="1:18" x14ac:dyDescent="0.25">
      <c r="A285" s="2" t="s">
        <v>34</v>
      </c>
      <c r="B285" s="2" t="s">
        <v>364</v>
      </c>
      <c r="C285" s="2" t="s">
        <v>365</v>
      </c>
      <c r="D285" s="2" t="s">
        <v>745</v>
      </c>
      <c r="E285" s="2" t="s">
        <v>367</v>
      </c>
      <c r="F285" s="2" t="s">
        <v>73</v>
      </c>
      <c r="G285" s="2" t="s">
        <v>119</v>
      </c>
      <c r="H285" s="2" t="s">
        <v>48</v>
      </c>
      <c r="I285" s="3">
        <v>46303.41666666667</v>
      </c>
      <c r="J285" s="2" t="s">
        <v>42</v>
      </c>
      <c r="K285" s="2" t="s">
        <v>368</v>
      </c>
      <c r="L285" s="10" t="s">
        <v>369</v>
      </c>
      <c r="M285" s="5" t="str">
        <f>IF(AND(ISNUMBER(N285),ISNUMBER(L285),L285&gt;0),ROUND(N285/L285,2),"")</f>
        <v/>
      </c>
      <c r="N285" s="6">
        <v>47523</v>
      </c>
      <c r="O285" s="7">
        <v>67890</v>
      </c>
      <c r="P285" s="8">
        <f>IF(AND(ISNUMBER(N285),ISNUMBER(O285),O285&gt;0),N285/O285,"")</f>
        <v>0.7</v>
      </c>
      <c r="Q285" s="2" t="s">
        <v>370</v>
      </c>
      <c r="R285" s="9" t="s">
        <v>746</v>
      </c>
    </row>
    <row r="286" spans="1:18" x14ac:dyDescent="0.25">
      <c r="A286" s="2" t="s">
        <v>34</v>
      </c>
      <c r="B286" s="2" t="s">
        <v>364</v>
      </c>
      <c r="C286" s="2" t="s">
        <v>365</v>
      </c>
      <c r="D286" s="2" t="s">
        <v>747</v>
      </c>
      <c r="E286" s="2" t="s">
        <v>367</v>
      </c>
      <c r="F286" s="2" t="s">
        <v>73</v>
      </c>
      <c r="G286" s="2" t="s">
        <v>119</v>
      </c>
      <c r="H286" s="2" t="s">
        <v>48</v>
      </c>
      <c r="I286" s="3">
        <v>46303.41666666667</v>
      </c>
      <c r="J286" s="2" t="s">
        <v>42</v>
      </c>
      <c r="K286" s="2" t="s">
        <v>368</v>
      </c>
      <c r="L286" s="10" t="s">
        <v>369</v>
      </c>
      <c r="M286" s="5" t="str">
        <f>IF(AND(ISNUMBER(N286),ISNUMBER(L286),L286&gt;0),ROUND(N286/L286,2),"")</f>
        <v/>
      </c>
      <c r="N286" s="6">
        <v>47523</v>
      </c>
      <c r="O286" s="7">
        <v>67890</v>
      </c>
      <c r="P286" s="8">
        <f>IF(AND(ISNUMBER(N286),ISNUMBER(O286),O286&gt;0),N286/O286,"")</f>
        <v>0.7</v>
      </c>
      <c r="Q286" s="2" t="s">
        <v>370</v>
      </c>
      <c r="R286" s="9" t="s">
        <v>748</v>
      </c>
    </row>
    <row r="287" spans="1:18" x14ac:dyDescent="0.25">
      <c r="A287" s="2" t="s">
        <v>34</v>
      </c>
      <c r="B287" s="2" t="s">
        <v>364</v>
      </c>
      <c r="C287" s="2" t="s">
        <v>365</v>
      </c>
      <c r="D287" s="2" t="s">
        <v>749</v>
      </c>
      <c r="E287" s="2" t="s">
        <v>367</v>
      </c>
      <c r="F287" s="2" t="s">
        <v>73</v>
      </c>
      <c r="G287" s="2" t="s">
        <v>119</v>
      </c>
      <c r="H287" s="2" t="s">
        <v>48</v>
      </c>
      <c r="I287" s="3">
        <v>46303.41666666667</v>
      </c>
      <c r="J287" s="2" t="s">
        <v>42</v>
      </c>
      <c r="K287" s="2" t="s">
        <v>368</v>
      </c>
      <c r="L287" s="10" t="s">
        <v>369</v>
      </c>
      <c r="M287" s="5" t="str">
        <f>IF(AND(ISNUMBER(N287),ISNUMBER(L287),L287&gt;0),ROUND(N287/L287,2),"")</f>
        <v/>
      </c>
      <c r="N287" s="6">
        <v>47523</v>
      </c>
      <c r="O287" s="7">
        <v>67890</v>
      </c>
      <c r="P287" s="8">
        <f>IF(AND(ISNUMBER(N287),ISNUMBER(O287),O287&gt;0),N287/O287,"")</f>
        <v>0.7</v>
      </c>
      <c r="Q287" s="2" t="s">
        <v>370</v>
      </c>
      <c r="R287" s="9" t="s">
        <v>750</v>
      </c>
    </row>
    <row r="288" spans="1:18" x14ac:dyDescent="0.25">
      <c r="A288" s="2" t="s">
        <v>34</v>
      </c>
      <c r="B288" s="2" t="s">
        <v>364</v>
      </c>
      <c r="C288" s="2" t="s">
        <v>365</v>
      </c>
      <c r="D288" s="2" t="s">
        <v>751</v>
      </c>
      <c r="E288" s="2" t="s">
        <v>367</v>
      </c>
      <c r="F288" s="2" t="s">
        <v>73</v>
      </c>
      <c r="G288" s="2" t="s">
        <v>119</v>
      </c>
      <c r="H288" s="2" t="s">
        <v>48</v>
      </c>
      <c r="I288" s="3">
        <v>46303.41666666667</v>
      </c>
      <c r="J288" s="2" t="s">
        <v>42</v>
      </c>
      <c r="K288" s="2" t="s">
        <v>368</v>
      </c>
      <c r="L288" s="10" t="s">
        <v>369</v>
      </c>
      <c r="M288" s="5" t="str">
        <f>IF(AND(ISNUMBER(N288),ISNUMBER(L288),L288&gt;0),ROUND(N288/L288,2),"")</f>
        <v/>
      </c>
      <c r="N288" s="6">
        <v>47523</v>
      </c>
      <c r="O288" s="7">
        <v>67890</v>
      </c>
      <c r="P288" s="8">
        <f>IF(AND(ISNUMBER(N288),ISNUMBER(O288),O288&gt;0),N288/O288,"")</f>
        <v>0.7</v>
      </c>
      <c r="Q288" s="2" t="s">
        <v>370</v>
      </c>
      <c r="R288" s="9" t="s">
        <v>752</v>
      </c>
    </row>
    <row r="289" spans="1:18" x14ac:dyDescent="0.25">
      <c r="A289" s="2" t="s">
        <v>34</v>
      </c>
      <c r="B289" s="2" t="s">
        <v>364</v>
      </c>
      <c r="C289" s="2" t="s">
        <v>365</v>
      </c>
      <c r="D289" s="2" t="s">
        <v>753</v>
      </c>
      <c r="E289" s="2" t="s">
        <v>367</v>
      </c>
      <c r="F289" s="2" t="s">
        <v>73</v>
      </c>
      <c r="G289" s="2" t="s">
        <v>119</v>
      </c>
      <c r="H289" s="2" t="s">
        <v>48</v>
      </c>
      <c r="I289" s="3">
        <v>46303.41666666667</v>
      </c>
      <c r="J289" s="2" t="s">
        <v>42</v>
      </c>
      <c r="K289" s="2" t="s">
        <v>368</v>
      </c>
      <c r="L289" s="10" t="s">
        <v>369</v>
      </c>
      <c r="M289" s="5" t="str">
        <f>IF(AND(ISNUMBER(N289),ISNUMBER(L289),L289&gt;0),ROUND(N289/L289,2),"")</f>
        <v/>
      </c>
      <c r="N289" s="6">
        <v>47523</v>
      </c>
      <c r="O289" s="7">
        <v>67890</v>
      </c>
      <c r="P289" s="8">
        <f>IF(AND(ISNUMBER(N289),ISNUMBER(O289),O289&gt;0),N289/O289,"")</f>
        <v>0.7</v>
      </c>
      <c r="Q289" s="2" t="s">
        <v>370</v>
      </c>
      <c r="R289" s="9" t="s">
        <v>754</v>
      </c>
    </row>
    <row r="290" spans="1:18" x14ac:dyDescent="0.25">
      <c r="A290" s="2" t="s">
        <v>34</v>
      </c>
      <c r="B290" s="2" t="s">
        <v>364</v>
      </c>
      <c r="C290" s="2" t="s">
        <v>365</v>
      </c>
      <c r="D290" s="2" t="s">
        <v>755</v>
      </c>
      <c r="E290" s="2" t="s">
        <v>367</v>
      </c>
      <c r="F290" s="2" t="s">
        <v>73</v>
      </c>
      <c r="G290" s="2" t="s">
        <v>119</v>
      </c>
      <c r="H290" s="2" t="s">
        <v>48</v>
      </c>
      <c r="I290" s="3">
        <v>46303.41666666667</v>
      </c>
      <c r="J290" s="2" t="s">
        <v>42</v>
      </c>
      <c r="K290" s="2" t="s">
        <v>368</v>
      </c>
      <c r="L290" s="10" t="s">
        <v>369</v>
      </c>
      <c r="M290" s="5" t="str">
        <f>IF(AND(ISNUMBER(N290),ISNUMBER(L290),L290&gt;0),ROUND(N290/L290,2),"")</f>
        <v/>
      </c>
      <c r="N290" s="6">
        <v>47523</v>
      </c>
      <c r="O290" s="7">
        <v>67890</v>
      </c>
      <c r="P290" s="8">
        <f>IF(AND(ISNUMBER(N290),ISNUMBER(O290),O290&gt;0),N290/O290,"")</f>
        <v>0.7</v>
      </c>
      <c r="Q290" s="2" t="s">
        <v>370</v>
      </c>
      <c r="R290" s="9" t="s">
        <v>756</v>
      </c>
    </row>
    <row r="291" spans="1:18" x14ac:dyDescent="0.25">
      <c r="A291" s="2" t="s">
        <v>34</v>
      </c>
      <c r="B291" s="2" t="s">
        <v>364</v>
      </c>
      <c r="C291" s="2" t="s">
        <v>757</v>
      </c>
      <c r="D291" s="2" t="s">
        <v>758</v>
      </c>
      <c r="E291" s="2" t="s">
        <v>759</v>
      </c>
      <c r="F291" s="2" t="s">
        <v>39</v>
      </c>
      <c r="G291" s="2" t="s">
        <v>40</v>
      </c>
      <c r="H291" s="2" t="s">
        <v>41</v>
      </c>
      <c r="I291" s="3">
        <v>46285.41666666667</v>
      </c>
      <c r="J291" s="2" t="s">
        <v>42</v>
      </c>
      <c r="K291" s="2" t="s">
        <v>760</v>
      </c>
      <c r="L291" s="4">
        <v>133.13</v>
      </c>
      <c r="M291" s="5">
        <f>IF(AND(ISNUMBER(N291),ISNUMBER(L291),L291&gt;0),ROUND(N291/L291,2),"")</f>
        <v>2510.39</v>
      </c>
      <c r="N291" s="6">
        <v>334208</v>
      </c>
      <c r="O291" s="7">
        <v>596800</v>
      </c>
      <c r="P291" s="8">
        <f>IF(AND(ISNUMBER(N291),ISNUMBER(O291),O291&gt;0),N291/O291,"")</f>
        <v>0.56</v>
      </c>
      <c r="Q291" s="9" t="s">
        <v>7</v>
      </c>
      <c r="R291" s="9" t="s">
        <v>761</v>
      </c>
    </row>
    <row r="292" spans="1:18" x14ac:dyDescent="0.25">
      <c r="A292" s="2" t="s">
        <v>34</v>
      </c>
      <c r="B292" s="2" t="s">
        <v>364</v>
      </c>
      <c r="C292" s="2" t="s">
        <v>592</v>
      </c>
      <c r="D292" s="2" t="s">
        <v>762</v>
      </c>
      <c r="E292" s="2" t="s">
        <v>763</v>
      </c>
      <c r="F292" s="2" t="s">
        <v>39</v>
      </c>
      <c r="G292" s="2" t="s">
        <v>40</v>
      </c>
      <c r="H292" s="2" t="s">
        <v>78</v>
      </c>
      <c r="I292" s="3">
        <v>46285.41666666667</v>
      </c>
      <c r="J292" s="2" t="s">
        <v>42</v>
      </c>
      <c r="K292" s="2" t="s">
        <v>760</v>
      </c>
      <c r="L292" s="4">
        <v>123.95</v>
      </c>
      <c r="M292" s="5">
        <f>IF(AND(ISNUMBER(N292),ISNUMBER(L292),L292&gt;0),ROUND(N292/L292,2),"")</f>
        <v>6735.03</v>
      </c>
      <c r="N292" s="6">
        <v>834806.56</v>
      </c>
      <c r="O292" s="7">
        <v>1490726</v>
      </c>
      <c r="P292" s="8">
        <f>IF(AND(ISNUMBER(N292),ISNUMBER(O292),O292&gt;0),N292/O292,"")</f>
        <v>0.56</v>
      </c>
      <c r="Q292" s="9" t="s">
        <v>7</v>
      </c>
      <c r="R292" s="9" t="s">
        <v>764</v>
      </c>
    </row>
    <row r="293" spans="1:18" x14ac:dyDescent="0.25">
      <c r="A293" s="2" t="s">
        <v>34</v>
      </c>
      <c r="B293" s="2" t="s">
        <v>364</v>
      </c>
      <c r="C293" s="2" t="s">
        <v>757</v>
      </c>
      <c r="D293" s="2" t="s">
        <v>765</v>
      </c>
      <c r="E293" s="2" t="s">
        <v>766</v>
      </c>
      <c r="F293" s="2" t="s">
        <v>39</v>
      </c>
      <c r="G293" s="2" t="s">
        <v>40</v>
      </c>
      <c r="H293" s="2" t="s">
        <v>41</v>
      </c>
      <c r="I293" s="3">
        <v>46285.41666666667</v>
      </c>
      <c r="J293" s="2" t="s">
        <v>42</v>
      </c>
      <c r="K293" s="2" t="s">
        <v>760</v>
      </c>
      <c r="L293" s="4">
        <v>71.6</v>
      </c>
      <c r="M293" s="5">
        <f>IF(AND(ISNUMBER(N293),ISNUMBER(L293),L293&gt;0),ROUND(N293/L293,2),"")</f>
        <v>2956.42</v>
      </c>
      <c r="N293" s="6">
        <v>211680</v>
      </c>
      <c r="O293" s="7">
        <v>378000</v>
      </c>
      <c r="P293" s="8">
        <f>IF(AND(ISNUMBER(N293),ISNUMBER(O293),O293&gt;0),N293/O293,"")</f>
        <v>0.56</v>
      </c>
      <c r="Q293" s="9" t="s">
        <v>7</v>
      </c>
      <c r="R293" s="9" t="s">
        <v>767</v>
      </c>
    </row>
    <row r="294" spans="1:18" x14ac:dyDescent="0.25">
      <c r="A294" s="2" t="s">
        <v>34</v>
      </c>
      <c r="B294" s="2" t="s">
        <v>364</v>
      </c>
      <c r="C294" s="2" t="s">
        <v>658</v>
      </c>
      <c r="D294" s="2" t="s">
        <v>768</v>
      </c>
      <c r="E294" s="2" t="s">
        <v>769</v>
      </c>
      <c r="F294" s="2" t="s">
        <v>39</v>
      </c>
      <c r="G294" s="2" t="s">
        <v>40</v>
      </c>
      <c r="H294" s="2" t="s">
        <v>78</v>
      </c>
      <c r="I294" s="3">
        <v>46285.41666666667</v>
      </c>
      <c r="J294" s="2" t="s">
        <v>42</v>
      </c>
      <c r="K294" s="2" t="s">
        <v>760</v>
      </c>
      <c r="L294" s="4">
        <v>104.94</v>
      </c>
      <c r="M294" s="5">
        <f>IF(AND(ISNUMBER(N294),ISNUMBER(L294),L294&gt;0),ROUND(N294/L294,2),"")</f>
        <v>8103.3</v>
      </c>
      <c r="N294" s="6">
        <v>850360</v>
      </c>
      <c r="O294" s="7">
        <v>1518500</v>
      </c>
      <c r="P294" s="8">
        <f>IF(AND(ISNUMBER(N294),ISNUMBER(O294),O294&gt;0),N294/O294,"")</f>
        <v>0.56</v>
      </c>
      <c r="Q294" s="9" t="s">
        <v>7</v>
      </c>
      <c r="R294" s="9" t="s">
        <v>770</v>
      </c>
    </row>
    <row r="295" spans="1:18" x14ac:dyDescent="0.25">
      <c r="A295" s="2" t="s">
        <v>34</v>
      </c>
      <c r="B295" s="2" t="s">
        <v>364</v>
      </c>
      <c r="C295" s="2" t="s">
        <v>757</v>
      </c>
      <c r="D295" s="2" t="s">
        <v>771</v>
      </c>
      <c r="E295" s="2" t="s">
        <v>772</v>
      </c>
      <c r="F295" s="2" t="s">
        <v>39</v>
      </c>
      <c r="G295" s="2" t="s">
        <v>40</v>
      </c>
      <c r="H295" s="2" t="s">
        <v>78</v>
      </c>
      <c r="I295" s="3">
        <v>46285.41666666667</v>
      </c>
      <c r="J295" s="2" t="s">
        <v>42</v>
      </c>
      <c r="K295" s="2" t="s">
        <v>760</v>
      </c>
      <c r="L295" s="4">
        <v>87.92</v>
      </c>
      <c r="M295" s="5">
        <f>IF(AND(ISNUMBER(N295),ISNUMBER(L295),L295&gt;0),ROUND(N295/L295,2),"")</f>
        <v>4695.54</v>
      </c>
      <c r="N295" s="6">
        <v>412832</v>
      </c>
      <c r="O295" s="7">
        <v>737200</v>
      </c>
      <c r="P295" s="8">
        <f>IF(AND(ISNUMBER(N295),ISNUMBER(O295),O295&gt;0),N295/O295,"")</f>
        <v>0.56</v>
      </c>
      <c r="Q295" s="9" t="s">
        <v>7</v>
      </c>
      <c r="R295" s="9" t="s">
        <v>773</v>
      </c>
    </row>
    <row r="296" spans="1:18" x14ac:dyDescent="0.25">
      <c r="A296" s="2" t="s">
        <v>34</v>
      </c>
      <c r="B296" s="2" t="s">
        <v>364</v>
      </c>
      <c r="C296" s="2" t="s">
        <v>585</v>
      </c>
      <c r="D296" s="2" t="s">
        <v>774</v>
      </c>
      <c r="E296" s="2" t="s">
        <v>775</v>
      </c>
      <c r="F296" s="2" t="s">
        <v>39</v>
      </c>
      <c r="G296" s="2" t="s">
        <v>40</v>
      </c>
      <c r="H296" s="2" t="s">
        <v>41</v>
      </c>
      <c r="I296" s="3">
        <v>46285.41666666667</v>
      </c>
      <c r="J296" s="2" t="s">
        <v>42</v>
      </c>
      <c r="K296" s="2" t="s">
        <v>391</v>
      </c>
      <c r="L296" s="4">
        <v>134.78</v>
      </c>
      <c r="M296" s="5">
        <f>IF(AND(ISNUMBER(N296),ISNUMBER(L296),L296&gt;0),ROUND(N296/L296,2),"")</f>
        <v>14171.24</v>
      </c>
      <c r="N296" s="6">
        <v>1910000</v>
      </c>
      <c r="O296" s="7">
        <v>2974900</v>
      </c>
      <c r="P296" s="8">
        <f>IF(AND(ISNUMBER(N296),ISNUMBER(O296),O296&gt;0),N296/O296,"")</f>
        <v>0.6420383878449696</v>
      </c>
      <c r="Q296" s="9" t="s">
        <v>7</v>
      </c>
      <c r="R296" s="9" t="s">
        <v>776</v>
      </c>
    </row>
    <row r="297" spans="1:18" x14ac:dyDescent="0.25">
      <c r="A297" s="2" t="s">
        <v>34</v>
      </c>
      <c r="B297" s="2" t="s">
        <v>364</v>
      </c>
      <c r="C297" s="2" t="s">
        <v>592</v>
      </c>
      <c r="D297" s="2" t="s">
        <v>777</v>
      </c>
      <c r="E297" s="2" t="s">
        <v>778</v>
      </c>
      <c r="F297" s="2" t="s">
        <v>39</v>
      </c>
      <c r="G297" s="2" t="s">
        <v>40</v>
      </c>
      <c r="H297" s="2" t="s">
        <v>48</v>
      </c>
      <c r="I297" s="3">
        <v>46303.41666666667</v>
      </c>
      <c r="J297" s="2" t="s">
        <v>42</v>
      </c>
      <c r="K297" s="2" t="s">
        <v>779</v>
      </c>
      <c r="L297" s="4">
        <v>128.46</v>
      </c>
      <c r="M297" s="5">
        <f>IF(AND(ISNUMBER(N297),ISNUMBER(L297),L297&gt;0),ROUND(N297/L297,2),"")</f>
        <v>4079.09</v>
      </c>
      <c r="N297" s="6">
        <v>524000</v>
      </c>
      <c r="O297" s="7">
        <v>747508.9</v>
      </c>
      <c r="P297" s="8">
        <f>IF(AND(ISNUMBER(N297),ISNUMBER(O297),O297&gt;0),N297/O297,"")</f>
        <v>0.7009949981866437</v>
      </c>
      <c r="Q297" s="9" t="s">
        <v>7</v>
      </c>
      <c r="R297" s="9" t="s">
        <v>780</v>
      </c>
    </row>
    <row r="298" spans="1:18" x14ac:dyDescent="0.25">
      <c r="A298" s="2" t="s">
        <v>34</v>
      </c>
      <c r="B298" s="2" t="s">
        <v>364</v>
      </c>
      <c r="C298" s="2" t="s">
        <v>585</v>
      </c>
      <c r="D298" s="2" t="s">
        <v>781</v>
      </c>
      <c r="E298" s="2" t="s">
        <v>782</v>
      </c>
      <c r="F298" s="2" t="s">
        <v>39</v>
      </c>
      <c r="G298" s="2" t="s">
        <v>40</v>
      </c>
      <c r="H298" s="2" t="s">
        <v>41</v>
      </c>
      <c r="I298" s="3">
        <v>46285.41666666667</v>
      </c>
      <c r="J298" s="2" t="s">
        <v>42</v>
      </c>
      <c r="K298" s="2" t="s">
        <v>402</v>
      </c>
      <c r="L298" s="4">
        <v>128.03</v>
      </c>
      <c r="M298" s="5">
        <f>IF(AND(ISNUMBER(N298),ISNUMBER(L298),L298&gt;0),ROUND(N298/L298,2),"")</f>
        <v>6635.94</v>
      </c>
      <c r="N298" s="6">
        <v>849600</v>
      </c>
      <c r="O298" s="7">
        <v>1515875.2</v>
      </c>
      <c r="P298" s="8">
        <f>IF(AND(ISNUMBER(N298),ISNUMBER(O298),O298&gt;0),N298/O298,"")</f>
        <v>0.5604683024037863</v>
      </c>
      <c r="Q298" s="9" t="s">
        <v>7</v>
      </c>
      <c r="R298" s="9" t="s">
        <v>783</v>
      </c>
    </row>
    <row r="299" spans="1:18" x14ac:dyDescent="0.25">
      <c r="A299" s="2" t="s">
        <v>34</v>
      </c>
      <c r="B299" s="2" t="s">
        <v>364</v>
      </c>
      <c r="C299" s="2" t="s">
        <v>592</v>
      </c>
      <c r="D299" s="2" t="s">
        <v>784</v>
      </c>
      <c r="E299" s="2" t="s">
        <v>785</v>
      </c>
      <c r="F299" s="2" t="s">
        <v>39</v>
      </c>
      <c r="G299" s="2" t="s">
        <v>40</v>
      </c>
      <c r="H299" s="2" t="s">
        <v>41</v>
      </c>
      <c r="I299" s="3">
        <v>46284.41666666667</v>
      </c>
      <c r="J299" s="2" t="s">
        <v>42</v>
      </c>
      <c r="K299" s="2" t="s">
        <v>786</v>
      </c>
      <c r="L299" s="4">
        <v>135.32</v>
      </c>
      <c r="M299" s="5">
        <f>IF(AND(ISNUMBER(N299),ISNUMBER(L299),L299&gt;0),ROUND(N299/L299,2),"")</f>
        <v>5618.62</v>
      </c>
      <c r="N299" s="6">
        <v>760312</v>
      </c>
      <c r="O299" s="7">
        <v>1357700</v>
      </c>
      <c r="P299" s="8">
        <f>IF(AND(ISNUMBER(N299),ISNUMBER(O299),O299&gt;0),N299/O299,"")</f>
        <v>0.56</v>
      </c>
      <c r="Q299" s="9" t="s">
        <v>7</v>
      </c>
      <c r="R299" s="9" t="s">
        <v>787</v>
      </c>
    </row>
    <row r="300" spans="1:18" x14ac:dyDescent="0.25">
      <c r="A300" s="2" t="s">
        <v>34</v>
      </c>
      <c r="B300" s="2" t="s">
        <v>364</v>
      </c>
      <c r="C300" s="2" t="s">
        <v>592</v>
      </c>
      <c r="D300" s="2" t="s">
        <v>788</v>
      </c>
      <c r="E300" s="2" t="s">
        <v>789</v>
      </c>
      <c r="F300" s="2" t="s">
        <v>39</v>
      </c>
      <c r="G300" s="2" t="s">
        <v>40</v>
      </c>
      <c r="H300" s="2" t="s">
        <v>41</v>
      </c>
      <c r="I300" s="3">
        <v>46284.41666666667</v>
      </c>
      <c r="J300" s="2" t="s">
        <v>42</v>
      </c>
      <c r="K300" s="2" t="s">
        <v>786</v>
      </c>
      <c r="L300" s="4">
        <v>105.92</v>
      </c>
      <c r="M300" s="5">
        <f>IF(AND(ISNUMBER(N300),ISNUMBER(L300),L300&gt;0),ROUND(N300/L300,2),"")</f>
        <v>3455.06</v>
      </c>
      <c r="N300" s="6">
        <v>365960</v>
      </c>
      <c r="O300" s="7">
        <v>653500</v>
      </c>
      <c r="P300" s="8">
        <f>IF(AND(ISNUMBER(N300),ISNUMBER(O300),O300&gt;0),N300/O300,"")</f>
        <v>0.56</v>
      </c>
      <c r="Q300" s="9" t="s">
        <v>7</v>
      </c>
      <c r="R300" s="9" t="s">
        <v>790</v>
      </c>
    </row>
    <row r="301" spans="1:18" x14ac:dyDescent="0.25">
      <c r="A301" s="2" t="s">
        <v>34</v>
      </c>
      <c r="B301" s="2" t="s">
        <v>364</v>
      </c>
      <c r="C301" s="2" t="s">
        <v>592</v>
      </c>
      <c r="D301" s="2" t="s">
        <v>791</v>
      </c>
      <c r="E301" s="2" t="s">
        <v>792</v>
      </c>
      <c r="F301" s="2" t="s">
        <v>39</v>
      </c>
      <c r="G301" s="2" t="s">
        <v>40</v>
      </c>
      <c r="H301" s="2" t="s">
        <v>48</v>
      </c>
      <c r="I301" s="3">
        <v>46300.41666666667</v>
      </c>
      <c r="J301" s="2" t="s">
        <v>42</v>
      </c>
      <c r="K301" s="2" t="s">
        <v>391</v>
      </c>
      <c r="L301" s="4">
        <v>133.15</v>
      </c>
      <c r="M301" s="5">
        <f>IF(AND(ISNUMBER(N301),ISNUMBER(L301),L301&gt;0),ROUND(N301/L301,2),"")</f>
        <v>8787.08</v>
      </c>
      <c r="N301" s="6">
        <v>1170000</v>
      </c>
      <c r="O301" s="7">
        <v>1452000</v>
      </c>
      <c r="P301" s="8">
        <f>IF(AND(ISNUMBER(N301),ISNUMBER(O301),O301&gt;0),N301/O301,"")</f>
        <v>0.8057851239669421</v>
      </c>
      <c r="Q301" s="9" t="s">
        <v>7</v>
      </c>
      <c r="R301" s="9" t="s">
        <v>793</v>
      </c>
    </row>
    <row r="302" spans="1:18" x14ac:dyDescent="0.25">
      <c r="A302" s="2" t="s">
        <v>34</v>
      </c>
      <c r="B302" s="2" t="s">
        <v>364</v>
      </c>
      <c r="C302" s="2" t="s">
        <v>592</v>
      </c>
      <c r="D302" s="2" t="s">
        <v>794</v>
      </c>
      <c r="E302" s="2" t="s">
        <v>795</v>
      </c>
      <c r="F302" s="2" t="s">
        <v>39</v>
      </c>
      <c r="G302" s="2" t="s">
        <v>40</v>
      </c>
      <c r="H302" s="2" t="s">
        <v>41</v>
      </c>
      <c r="I302" s="3">
        <v>46286.41666666667</v>
      </c>
      <c r="J302" s="2" t="s">
        <v>42</v>
      </c>
      <c r="K302" s="2" t="s">
        <v>796</v>
      </c>
      <c r="L302" s="4">
        <v>211.58</v>
      </c>
      <c r="M302" s="5">
        <f>IF(AND(ISNUMBER(N302),ISNUMBER(L302),L302&gt;0),ROUND(N302/L302,2),"")</f>
        <v>2965.49</v>
      </c>
      <c r="N302" s="6">
        <v>627438</v>
      </c>
      <c r="O302" s="7">
        <v>1120423</v>
      </c>
      <c r="P302" s="8">
        <f>IF(AND(ISNUMBER(N302),ISNUMBER(O302),O302&gt;0),N302/O302,"")</f>
        <v>0.560000999622464</v>
      </c>
      <c r="Q302" s="9" t="s">
        <v>7</v>
      </c>
      <c r="R302" s="9" t="s">
        <v>797</v>
      </c>
    </row>
    <row r="303" spans="1:18" x14ac:dyDescent="0.25">
      <c r="A303" s="2" t="s">
        <v>34</v>
      </c>
      <c r="B303" s="2" t="s">
        <v>35</v>
      </c>
      <c r="C303" s="2" t="s">
        <v>75</v>
      </c>
      <c r="D303" s="2" t="s">
        <v>798</v>
      </c>
      <c r="E303" s="2" t="s">
        <v>77</v>
      </c>
      <c r="F303" s="2" t="s">
        <v>133</v>
      </c>
      <c r="G303" s="2" t="s">
        <v>40</v>
      </c>
      <c r="H303" s="2" t="s">
        <v>41</v>
      </c>
      <c r="I303" s="3">
        <v>46286.41666666667</v>
      </c>
      <c r="J303" s="2" t="s">
        <v>42</v>
      </c>
      <c r="K303" s="2" t="s">
        <v>79</v>
      </c>
      <c r="L303" s="4">
        <v>64.66</v>
      </c>
      <c r="M303" s="5">
        <f>IF(AND(ISNUMBER(N303),ISNUMBER(L303),L303&gt;0),ROUND(N303/L303,2),"")</f>
        <v>2844.14</v>
      </c>
      <c r="N303" s="6">
        <v>183902</v>
      </c>
      <c r="O303" s="7">
        <v>287345.82</v>
      </c>
      <c r="P303" s="8">
        <f>IF(AND(ISNUMBER(N303),ISNUMBER(O303),O303&gt;0),N303/O303,"")</f>
        <v>0.6400023497818761</v>
      </c>
      <c r="Q303" s="9" t="s">
        <v>7</v>
      </c>
      <c r="R303" s="9" t="s">
        <v>799</v>
      </c>
    </row>
    <row r="304" spans="1:18" x14ac:dyDescent="0.25">
      <c r="A304" s="2" t="s">
        <v>34</v>
      </c>
      <c r="B304" s="2" t="s">
        <v>35</v>
      </c>
      <c r="C304" s="2" t="s">
        <v>75</v>
      </c>
      <c r="D304" s="2" t="s">
        <v>800</v>
      </c>
      <c r="E304" s="2" t="s">
        <v>77</v>
      </c>
      <c r="F304" s="2" t="s">
        <v>133</v>
      </c>
      <c r="G304" s="2" t="s">
        <v>40</v>
      </c>
      <c r="H304" s="2" t="s">
        <v>41</v>
      </c>
      <c r="I304" s="3">
        <v>46286.41666666667</v>
      </c>
      <c r="J304" s="2" t="s">
        <v>42</v>
      </c>
      <c r="K304" s="2" t="s">
        <v>79</v>
      </c>
      <c r="L304" s="4">
        <v>64.66</v>
      </c>
      <c r="M304" s="5">
        <f>IF(AND(ISNUMBER(N304),ISNUMBER(L304),L304&gt;0),ROUND(N304/L304,2),"")</f>
        <v>2844.14</v>
      </c>
      <c r="N304" s="6">
        <v>183902</v>
      </c>
      <c r="O304" s="7">
        <v>287345.82</v>
      </c>
      <c r="P304" s="8">
        <f>IF(AND(ISNUMBER(N304),ISNUMBER(O304),O304&gt;0),N304/O304,"")</f>
        <v>0.6400023497818761</v>
      </c>
      <c r="Q304" s="9" t="s">
        <v>7</v>
      </c>
      <c r="R304" s="9" t="s">
        <v>801</v>
      </c>
    </row>
    <row r="305" spans="1:18" x14ac:dyDescent="0.25">
      <c r="A305" s="2" t="s">
        <v>34</v>
      </c>
      <c r="B305" s="2" t="s">
        <v>35</v>
      </c>
      <c r="C305" s="2" t="s">
        <v>67</v>
      </c>
      <c r="D305" s="2" t="s">
        <v>802</v>
      </c>
      <c r="E305" s="2" t="s">
        <v>61</v>
      </c>
      <c r="F305" s="2" t="s">
        <v>133</v>
      </c>
      <c r="G305" s="2" t="s">
        <v>40</v>
      </c>
      <c r="H305" s="2" t="s">
        <v>48</v>
      </c>
      <c r="I305" s="3">
        <v>46303.41666666667</v>
      </c>
      <c r="J305" s="2" t="s">
        <v>42</v>
      </c>
      <c r="K305" s="2" t="s">
        <v>53</v>
      </c>
      <c r="L305" s="4">
        <v>230.58</v>
      </c>
      <c r="M305" s="5">
        <f>IF(AND(ISNUMBER(N305),ISNUMBER(L305),L305&gt;0),ROUND(N305/L305,2),"")</f>
        <v>3946.57</v>
      </c>
      <c r="N305" s="6">
        <v>910000</v>
      </c>
      <c r="O305" s="7">
        <v>1296263.36</v>
      </c>
      <c r="P305" s="8">
        <f>IF(AND(ISNUMBER(N305),ISNUMBER(O305),O305&gt;0),N305/O305,"")</f>
        <v>0.7020178368691992</v>
      </c>
      <c r="Q305" s="9" t="s">
        <v>7</v>
      </c>
      <c r="R305" s="9" t="s">
        <v>803</v>
      </c>
    </row>
    <row r="306" spans="1:18" x14ac:dyDescent="0.25">
      <c r="A306" s="2" t="s">
        <v>34</v>
      </c>
      <c r="B306" s="2" t="s">
        <v>35</v>
      </c>
      <c r="C306" s="2" t="s">
        <v>67</v>
      </c>
      <c r="D306" s="2" t="s">
        <v>804</v>
      </c>
      <c r="E306" s="2" t="s">
        <v>805</v>
      </c>
      <c r="F306" s="2" t="s">
        <v>133</v>
      </c>
      <c r="G306" s="2" t="s">
        <v>40</v>
      </c>
      <c r="H306" s="2" t="s">
        <v>48</v>
      </c>
      <c r="I306" s="3">
        <v>46304.41666666667</v>
      </c>
      <c r="J306" s="2" t="s">
        <v>42</v>
      </c>
      <c r="K306" s="2" t="s">
        <v>53</v>
      </c>
      <c r="L306" s="4">
        <v>1789.42</v>
      </c>
      <c r="M306" s="5">
        <f>IF(AND(ISNUMBER(N306),ISNUMBER(L306),L306&gt;0),ROUND(N306/L306,2),"")</f>
        <v>4833.97</v>
      </c>
      <c r="N306" s="6">
        <v>8650000</v>
      </c>
      <c r="O306" s="7">
        <v>12347000</v>
      </c>
      <c r="P306" s="8">
        <f>IF(AND(ISNUMBER(N306),ISNUMBER(O306),O306&gt;0),N306/O306,"")</f>
        <v>0.7005750384708836</v>
      </c>
      <c r="Q306" s="9" t="s">
        <v>7</v>
      </c>
      <c r="R306" s="9" t="s">
        <v>806</v>
      </c>
    </row>
  </sheetData>
  <autoFilter ref="A1:R30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807</v>
      </c>
      <c r="R1" s="1" t="s">
        <v>808</v>
      </c>
      <c r="S1" s="1" t="s">
        <v>809</v>
      </c>
      <c r="T1" s="1" t="s">
        <v>810</v>
      </c>
      <c r="U1" s="1" t="s">
        <v>811</v>
      </c>
      <c r="V1" s="1" t="s">
        <v>32</v>
      </c>
      <c r="W1" s="1" t="s">
        <v>33</v>
      </c>
    </row>
    <row r="2" spans="1:23" x14ac:dyDescent="0.25">
      <c r="A2" s="2" t="s">
        <v>34</v>
      </c>
      <c r="B2" s="2" t="s">
        <v>35</v>
      </c>
      <c r="C2" s="2" t="s">
        <v>191</v>
      </c>
      <c r="D2" s="2" t="s">
        <v>812</v>
      </c>
      <c r="E2" s="2" t="s">
        <v>813</v>
      </c>
      <c r="F2" s="2" t="s">
        <v>39</v>
      </c>
      <c r="G2" s="2" t="s">
        <v>40</v>
      </c>
      <c r="H2" s="2" t="s">
        <v>48</v>
      </c>
      <c r="I2" s="3">
        <v>46269.41666666667</v>
      </c>
      <c r="J2" s="2" t="s">
        <v>814</v>
      </c>
      <c r="K2" s="2" t="s">
        <v>53</v>
      </c>
      <c r="L2" s="4">
        <v>89.55</v>
      </c>
      <c r="M2" s="5">
        <f>IF(AND(ISNUMBER(N2),ISNUMBER(L2),L2&gt;0),ROUND(N2/L2,2),"")</f>
        <v>8598.55</v>
      </c>
      <c r="N2" s="6">
        <v>770000</v>
      </c>
      <c r="O2" s="7">
        <v>1094329.29</v>
      </c>
      <c r="P2" s="8">
        <f>IF(AND(ISNUMBER(N2),ISNUMBER(O2),O2&gt;0),N2/O2,"")</f>
        <v>0.7036273332316637</v>
      </c>
      <c r="Q2" s="6">
        <v>1057000</v>
      </c>
      <c r="R2" s="8">
        <f>IF(AND(ISNUMBER(Q2),ISNUMBER(N2),N2&gt;0),(Q2-N2)/N2,"")</f>
        <v>0.37272727272727274</v>
      </c>
      <c r="S2" s="5">
        <f>IF(AND(ISNUMBER(Q2),ISNUMBER(L2),L2&gt;0),ROUND(Q2/L2,2),"")</f>
        <v>11803.46</v>
      </c>
      <c r="T2" s="6">
        <v>36</v>
      </c>
      <c r="U2" s="6">
        <v>7</v>
      </c>
      <c r="V2" s="9" t="s">
        <v>7</v>
      </c>
      <c r="W2" s="9" t="s">
        <v>815</v>
      </c>
    </row>
    <row r="3" spans="1:23" x14ac:dyDescent="0.25">
      <c r="A3" s="2" t="s">
        <v>34</v>
      </c>
      <c r="B3" s="2" t="s">
        <v>35</v>
      </c>
      <c r="C3" s="2" t="s">
        <v>63</v>
      </c>
      <c r="D3" s="2" t="s">
        <v>816</v>
      </c>
      <c r="E3" s="2" t="s">
        <v>817</v>
      </c>
      <c r="F3" s="2" t="s">
        <v>39</v>
      </c>
      <c r="G3" s="2" t="s">
        <v>40</v>
      </c>
      <c r="H3" s="2" t="s">
        <v>48</v>
      </c>
      <c r="I3" s="3">
        <v>46268.41666666667</v>
      </c>
      <c r="J3" s="2" t="s">
        <v>814</v>
      </c>
      <c r="K3" s="2" t="s">
        <v>94</v>
      </c>
      <c r="L3" s="4">
        <v>61.27</v>
      </c>
      <c r="M3" s="5">
        <f>IF(AND(ISNUMBER(N3),ISNUMBER(L3),L3&gt;0),ROUND(N3/L3,2),"")</f>
        <v>9100</v>
      </c>
      <c r="N3" s="6">
        <v>557557</v>
      </c>
      <c r="O3" s="7">
        <v>796510</v>
      </c>
      <c r="P3" s="8">
        <f>IF(AND(ISNUMBER(N3),ISNUMBER(O3),O3&gt;0),N3/O3,"")</f>
        <v>0.7</v>
      </c>
      <c r="Q3" s="6">
        <v>737557</v>
      </c>
      <c r="R3" s="8">
        <f>IF(AND(ISNUMBER(Q3),ISNUMBER(N3),N3&gt;0),(Q3-N3)/N3,"")</f>
        <v>0.3228369476125311</v>
      </c>
      <c r="S3" s="5">
        <f>IF(AND(ISNUMBER(Q3),ISNUMBER(L3),L3&gt;0),ROUND(Q3/L3,2),"")</f>
        <v>12037.82</v>
      </c>
      <c r="T3" s="6">
        <v>36</v>
      </c>
      <c r="U3" s="6">
        <v>9</v>
      </c>
      <c r="V3" s="9" t="s">
        <v>7</v>
      </c>
      <c r="W3" s="9" t="s">
        <v>818</v>
      </c>
    </row>
    <row r="4" spans="1:23" x14ac:dyDescent="0.25">
      <c r="A4" s="2" t="s">
        <v>34</v>
      </c>
      <c r="B4" s="2" t="s">
        <v>35</v>
      </c>
      <c r="C4" s="2" t="s">
        <v>63</v>
      </c>
      <c r="D4" s="2" t="s">
        <v>819</v>
      </c>
      <c r="E4" s="2" t="s">
        <v>817</v>
      </c>
      <c r="F4" s="2" t="s">
        <v>39</v>
      </c>
      <c r="G4" s="2" t="s">
        <v>40</v>
      </c>
      <c r="H4" s="2" t="s">
        <v>820</v>
      </c>
      <c r="I4" s="11"/>
      <c r="J4" s="2" t="s">
        <v>814</v>
      </c>
      <c r="K4" s="2" t="s">
        <v>94</v>
      </c>
      <c r="L4" s="10" t="s">
        <v>369</v>
      </c>
      <c r="M4" s="5" t="str">
        <f>IF(AND(ISNUMBER(N4),ISNUMBER(L4),L4&gt;0),ROUND(N4/L4,2),"")</f>
        <v/>
      </c>
      <c r="N4" s="6">
        <v>1613719</v>
      </c>
      <c r="O4" s="7">
        <v>1808170</v>
      </c>
      <c r="P4" s="8">
        <f>IF(AND(ISNUMBER(N4),ISNUMBER(O4),O4&gt;0),N4/O4,"")</f>
        <v>0.8924597797773439</v>
      </c>
      <c r="Q4" s="6">
        <v>1613719</v>
      </c>
      <c r="R4" s="8">
        <f>IF(AND(ISNUMBER(Q4),ISNUMBER(N4),N4&gt;0),(Q4-N4)/N4,"")</f>
        <v>0</v>
      </c>
      <c r="S4" s="5" t="str">
        <f>IF(AND(ISNUMBER(Q4),ISNUMBER(L4),L4&gt;0),ROUND(Q4/L4,2),"")</f>
        <v/>
      </c>
      <c r="T4" s="12"/>
      <c r="U4" s="12"/>
      <c r="V4" s="2" t="s">
        <v>821</v>
      </c>
      <c r="W4" s="9" t="s">
        <v>822</v>
      </c>
    </row>
    <row r="5" spans="1:23" x14ac:dyDescent="0.25">
      <c r="A5" s="2" t="s">
        <v>34</v>
      </c>
      <c r="B5" s="2" t="s">
        <v>35</v>
      </c>
      <c r="C5" s="2" t="s">
        <v>59</v>
      </c>
      <c r="D5" s="2" t="s">
        <v>823</v>
      </c>
      <c r="E5" s="2" t="s">
        <v>824</v>
      </c>
      <c r="F5" s="2" t="s">
        <v>39</v>
      </c>
      <c r="G5" s="2" t="s">
        <v>40</v>
      </c>
      <c r="H5" s="2" t="s">
        <v>48</v>
      </c>
      <c r="I5" s="3">
        <v>46268.424305555556</v>
      </c>
      <c r="J5" s="2" t="s">
        <v>814</v>
      </c>
      <c r="K5" s="2" t="s">
        <v>53</v>
      </c>
      <c r="L5" s="4">
        <v>128.04</v>
      </c>
      <c r="M5" s="5">
        <f>IF(AND(ISNUMBER(N5),ISNUMBER(L5),L5&gt;0),ROUND(N5/L5,2),"")</f>
        <v>11324.59</v>
      </c>
      <c r="N5" s="6">
        <v>1450000</v>
      </c>
      <c r="O5" s="7">
        <v>2066870.75</v>
      </c>
      <c r="P5" s="8">
        <f>IF(AND(ISNUMBER(N5),ISNUMBER(O5),O5&gt;0),N5/O5,"")</f>
        <v>0.7015436257927594</v>
      </c>
      <c r="Q5" s="6">
        <v>1618000</v>
      </c>
      <c r="R5" s="8">
        <f>IF(AND(ISNUMBER(Q5),ISNUMBER(N5),N5&gt;0),(Q5-N5)/N5,"")</f>
        <v>0.11586206896551725</v>
      </c>
      <c r="S5" s="5">
        <f>IF(AND(ISNUMBER(Q5),ISNUMBER(L5),L5&gt;0),ROUND(Q5/L5,2),"")</f>
        <v>12636.68</v>
      </c>
      <c r="T5" s="6">
        <v>16</v>
      </c>
      <c r="U5" s="6">
        <v>3</v>
      </c>
      <c r="V5" s="9" t="s">
        <v>7</v>
      </c>
      <c r="W5" s="9" t="s">
        <v>825</v>
      </c>
    </row>
    <row r="6" spans="1:23" x14ac:dyDescent="0.25">
      <c r="A6" s="2" t="s">
        <v>34</v>
      </c>
      <c r="B6" s="2" t="s">
        <v>35</v>
      </c>
      <c r="C6" s="2" t="s">
        <v>45</v>
      </c>
      <c r="D6" s="2" t="s">
        <v>826</v>
      </c>
      <c r="E6" s="2" t="s">
        <v>827</v>
      </c>
      <c r="F6" s="2" t="s">
        <v>39</v>
      </c>
      <c r="G6" s="2" t="s">
        <v>40</v>
      </c>
      <c r="H6" s="2" t="s">
        <v>48</v>
      </c>
      <c r="I6" s="3">
        <v>46268.419444444444</v>
      </c>
      <c r="J6" s="2" t="s">
        <v>814</v>
      </c>
      <c r="K6" s="2" t="s">
        <v>53</v>
      </c>
      <c r="L6" s="4">
        <v>81</v>
      </c>
      <c r="M6" s="5">
        <f>IF(AND(ISNUMBER(N6),ISNUMBER(L6),L6&gt;0),ROUND(N6/L6,2),"")</f>
        <v>12654.32</v>
      </c>
      <c r="N6" s="6">
        <v>1025000</v>
      </c>
      <c r="O6" s="7">
        <v>1458000</v>
      </c>
      <c r="P6" s="8">
        <f>IF(AND(ISNUMBER(N6),ISNUMBER(O6),O6&gt;0),N6/O6,"")</f>
        <v>0.7030178326474623</v>
      </c>
      <c r="Q6" s="6">
        <v>1025000</v>
      </c>
      <c r="R6" s="8">
        <f>IF(AND(ISNUMBER(Q6),ISNUMBER(N6),N6&gt;0),(Q6-N6)/N6,"")</f>
        <v>0</v>
      </c>
      <c r="S6" s="5">
        <f>IF(AND(ISNUMBER(Q6),ISNUMBER(L6),L6&gt;0),ROUND(Q6/L6,2),"")</f>
        <v>12654.32</v>
      </c>
      <c r="T6" s="6">
        <v>1</v>
      </c>
      <c r="U6" s="6">
        <v>3</v>
      </c>
      <c r="V6" s="9" t="s">
        <v>7</v>
      </c>
      <c r="W6" s="9" t="s">
        <v>828</v>
      </c>
    </row>
    <row r="7" spans="1:23" x14ac:dyDescent="0.25">
      <c r="A7" s="2" t="s">
        <v>34</v>
      </c>
      <c r="B7" s="2" t="s">
        <v>35</v>
      </c>
      <c r="C7" s="2" t="s">
        <v>45</v>
      </c>
      <c r="D7" s="2" t="s">
        <v>829</v>
      </c>
      <c r="E7" s="2" t="s">
        <v>830</v>
      </c>
      <c r="F7" s="2" t="s">
        <v>39</v>
      </c>
      <c r="G7" s="2" t="s">
        <v>40</v>
      </c>
      <c r="H7" s="2" t="s">
        <v>41</v>
      </c>
      <c r="I7" s="3">
        <v>46267.41666666667</v>
      </c>
      <c r="J7" s="2" t="s">
        <v>814</v>
      </c>
      <c r="K7" s="2" t="s">
        <v>49</v>
      </c>
      <c r="L7" s="4">
        <v>116.85</v>
      </c>
      <c r="M7" s="5">
        <f>IF(AND(ISNUMBER(N7),ISNUMBER(L7),L7&gt;0),ROUND(N7/L7,2),"")</f>
        <v>6944.29</v>
      </c>
      <c r="N7" s="6">
        <v>811440</v>
      </c>
      <c r="O7" s="7">
        <v>1449000</v>
      </c>
      <c r="P7" s="8">
        <f>IF(AND(ISNUMBER(N7),ISNUMBER(O7),O7&gt;0),N7/O7,"")</f>
        <v>0.56</v>
      </c>
      <c r="Q7" s="6">
        <v>971440</v>
      </c>
      <c r="R7" s="8">
        <f>IF(AND(ISNUMBER(Q7),ISNUMBER(N7),N7&gt;0),(Q7-N7)/N7,"")</f>
        <v>0.19718032140392389</v>
      </c>
      <c r="S7" s="5">
        <f>IF(AND(ISNUMBER(Q7),ISNUMBER(L7),L7&gt;0),ROUND(Q7/L7,2),"")</f>
        <v>8313.56</v>
      </c>
      <c r="T7" s="6">
        <v>21</v>
      </c>
      <c r="U7" s="6">
        <v>5</v>
      </c>
      <c r="V7" s="9" t="s">
        <v>7</v>
      </c>
      <c r="W7" s="9" t="s">
        <v>831</v>
      </c>
    </row>
    <row r="8" spans="1:23" x14ac:dyDescent="0.25">
      <c r="A8" s="2" t="s">
        <v>34</v>
      </c>
      <c r="B8" s="2" t="s">
        <v>364</v>
      </c>
      <c r="C8" s="2" t="s">
        <v>592</v>
      </c>
      <c r="D8" s="2" t="s">
        <v>832</v>
      </c>
      <c r="E8" s="2" t="s">
        <v>833</v>
      </c>
      <c r="F8" s="2" t="s">
        <v>39</v>
      </c>
      <c r="G8" s="2" t="s">
        <v>40</v>
      </c>
      <c r="H8" s="2" t="s">
        <v>41</v>
      </c>
      <c r="I8" s="3">
        <v>46268.41666666667</v>
      </c>
      <c r="J8" s="2" t="s">
        <v>814</v>
      </c>
      <c r="K8" s="2" t="s">
        <v>834</v>
      </c>
      <c r="L8" s="4">
        <v>45.05</v>
      </c>
      <c r="M8" s="5">
        <f>IF(AND(ISNUMBER(N8),ISNUMBER(L8),L8&gt;0),ROUND(N8/L8,2),"")</f>
        <v>3981.33</v>
      </c>
      <c r="N8" s="6">
        <v>179359</v>
      </c>
      <c r="O8" s="7">
        <v>320282</v>
      </c>
      <c r="P8" s="8">
        <f>IF(AND(ISNUMBER(N8),ISNUMBER(O8),O8&gt;0),N8/O8,"")</f>
        <v>0.5600033720284</v>
      </c>
      <c r="Q8" s="6">
        <v>236359</v>
      </c>
      <c r="R8" s="8">
        <f>IF(AND(ISNUMBER(Q8),ISNUMBER(N8),N8&gt;0),(Q8-N8)/N8,"")</f>
        <v>0.31779838201595684</v>
      </c>
      <c r="S8" s="5">
        <f>IF(AND(ISNUMBER(Q8),ISNUMBER(L8),L8&gt;0),ROUND(Q8/L8,2),"")</f>
        <v>5246.59</v>
      </c>
      <c r="T8" s="6">
        <v>41</v>
      </c>
      <c r="U8" s="6">
        <v>8</v>
      </c>
      <c r="V8" s="9" t="s">
        <v>7</v>
      </c>
      <c r="W8" s="9" t="s">
        <v>835</v>
      </c>
    </row>
    <row r="9" spans="1:23" x14ac:dyDescent="0.25">
      <c r="A9" s="2" t="s">
        <v>34</v>
      </c>
      <c r="B9" s="2" t="s">
        <v>364</v>
      </c>
      <c r="C9" s="2" t="s">
        <v>592</v>
      </c>
      <c r="D9" s="2" t="s">
        <v>836</v>
      </c>
      <c r="E9" s="2" t="s">
        <v>833</v>
      </c>
      <c r="F9" s="2" t="s">
        <v>39</v>
      </c>
      <c r="G9" s="2" t="s">
        <v>40</v>
      </c>
      <c r="H9" s="2" t="s">
        <v>41</v>
      </c>
      <c r="I9" s="3">
        <v>46268.41666666667</v>
      </c>
      <c r="J9" s="2" t="s">
        <v>814</v>
      </c>
      <c r="K9" s="2" t="s">
        <v>834</v>
      </c>
      <c r="L9" s="4">
        <v>45.05</v>
      </c>
      <c r="M9" s="5">
        <f>IF(AND(ISNUMBER(N9),ISNUMBER(L9),L9&gt;0),ROUND(N9/L9,2),"")</f>
        <v>3981.33</v>
      </c>
      <c r="N9" s="6">
        <v>179359</v>
      </c>
      <c r="O9" s="7">
        <v>320282</v>
      </c>
      <c r="P9" s="8">
        <f>IF(AND(ISNUMBER(N9),ISNUMBER(O9),O9&gt;0),N9/O9,"")</f>
        <v>0.5600033720284</v>
      </c>
      <c r="Q9" s="6">
        <v>234359</v>
      </c>
      <c r="R9" s="8">
        <f>IF(AND(ISNUMBER(Q9),ISNUMBER(N9),N9&gt;0),(Q9-N9)/N9,"")</f>
        <v>0.3066475615943443</v>
      </c>
      <c r="S9" s="5">
        <f>IF(AND(ISNUMBER(Q9),ISNUMBER(L9),L9&gt;0),ROUND(Q9/L9,2),"")</f>
        <v>5202.2</v>
      </c>
      <c r="T9" s="6">
        <v>51</v>
      </c>
      <c r="U9" s="6">
        <v>6</v>
      </c>
      <c r="V9" s="9" t="s">
        <v>7</v>
      </c>
      <c r="W9" s="9" t="s">
        <v>837</v>
      </c>
    </row>
    <row r="10" spans="1:23" x14ac:dyDescent="0.25">
      <c r="A10" s="2" t="s">
        <v>34</v>
      </c>
      <c r="B10" s="2" t="s">
        <v>364</v>
      </c>
      <c r="C10" s="2" t="s">
        <v>592</v>
      </c>
      <c r="D10" s="2" t="s">
        <v>838</v>
      </c>
      <c r="E10" s="2" t="s">
        <v>839</v>
      </c>
      <c r="F10" s="2" t="s">
        <v>39</v>
      </c>
      <c r="G10" s="2" t="s">
        <v>40</v>
      </c>
      <c r="H10" s="2" t="s">
        <v>41</v>
      </c>
      <c r="I10" s="3">
        <v>46268.43611111111</v>
      </c>
      <c r="J10" s="2" t="s">
        <v>814</v>
      </c>
      <c r="K10" s="2" t="s">
        <v>834</v>
      </c>
      <c r="L10" s="4">
        <v>133.67</v>
      </c>
      <c r="M10" s="5">
        <f>IF(AND(ISNUMBER(N10),ISNUMBER(L10),L10&gt;0),ROUND(N10/L10,2),"")</f>
        <v>5815.56</v>
      </c>
      <c r="N10" s="6">
        <v>777366</v>
      </c>
      <c r="O10" s="7">
        <v>1388152</v>
      </c>
      <c r="P10" s="8">
        <f>IF(AND(ISNUMBER(N10),ISNUMBER(O10),O10&gt;0),N10/O10,"")</f>
        <v>0.5600006339363413</v>
      </c>
      <c r="Q10" s="6">
        <v>992366</v>
      </c>
      <c r="R10" s="8">
        <f>IF(AND(ISNUMBER(Q10),ISNUMBER(N10),N10&gt;0),(Q10-N10)/N10,"")</f>
        <v>0.27657499813472675</v>
      </c>
      <c r="S10" s="5">
        <f>IF(AND(ISNUMBER(Q10),ISNUMBER(L10),L10&gt;0),ROUND(Q10/L10,2),"")</f>
        <v>7424</v>
      </c>
      <c r="T10" s="6">
        <v>44</v>
      </c>
      <c r="U10" s="6">
        <v>7</v>
      </c>
      <c r="V10" s="9" t="s">
        <v>7</v>
      </c>
      <c r="W10" s="9" t="s">
        <v>840</v>
      </c>
    </row>
    <row r="11" spans="1:23" x14ac:dyDescent="0.25">
      <c r="A11" s="2" t="s">
        <v>34</v>
      </c>
      <c r="B11" s="2" t="s">
        <v>364</v>
      </c>
      <c r="C11" s="2" t="s">
        <v>399</v>
      </c>
      <c r="D11" s="2" t="s">
        <v>841</v>
      </c>
      <c r="E11" s="2" t="s">
        <v>842</v>
      </c>
      <c r="F11" s="2" t="s">
        <v>39</v>
      </c>
      <c r="G11" s="2" t="s">
        <v>40</v>
      </c>
      <c r="H11" s="2" t="s">
        <v>48</v>
      </c>
      <c r="I11" s="3">
        <v>46267.41666666667</v>
      </c>
      <c r="J11" s="2" t="s">
        <v>814</v>
      </c>
      <c r="K11" s="2" t="s">
        <v>402</v>
      </c>
      <c r="L11" s="4">
        <v>162.14</v>
      </c>
      <c r="M11" s="5">
        <f>IF(AND(ISNUMBER(N11),ISNUMBER(L11),L11&gt;0),ROUND(N11/L11,2),"")</f>
        <v>3800</v>
      </c>
      <c r="N11" s="6">
        <v>616132</v>
      </c>
      <c r="O11" s="7">
        <v>616132</v>
      </c>
      <c r="P11" s="8">
        <f>IF(AND(ISNUMBER(N11),ISNUMBER(O11),O11&gt;0),N11/O11,"")</f>
        <v>1</v>
      </c>
      <c r="Q11" s="6">
        <v>896132</v>
      </c>
      <c r="R11" s="8">
        <f>IF(AND(ISNUMBER(Q11),ISNUMBER(N11),N11&gt;0),(Q11-N11)/N11,"")</f>
        <v>0.4544480728155655</v>
      </c>
      <c r="S11" s="5">
        <f>IF(AND(ISNUMBER(Q11),ISNUMBER(L11),L11&gt;0),ROUND(Q11/L11,2),"")</f>
        <v>5526.9</v>
      </c>
      <c r="T11" s="6">
        <v>70</v>
      </c>
      <c r="U11" s="6">
        <v>3</v>
      </c>
      <c r="V11" s="9" t="s">
        <v>7</v>
      </c>
      <c r="W11" s="9" t="s">
        <v>843</v>
      </c>
    </row>
    <row r="12" spans="1:23" x14ac:dyDescent="0.25">
      <c r="A12" s="2" t="s">
        <v>34</v>
      </c>
      <c r="B12" s="2" t="s">
        <v>35</v>
      </c>
      <c r="C12" s="2" t="s">
        <v>149</v>
      </c>
      <c r="D12" s="2" t="s">
        <v>844</v>
      </c>
      <c r="E12" s="2" t="s">
        <v>61</v>
      </c>
      <c r="F12" s="2" t="s">
        <v>73</v>
      </c>
      <c r="G12" s="2" t="s">
        <v>119</v>
      </c>
      <c r="H12" s="2" t="s">
        <v>41</v>
      </c>
      <c r="I12" s="3">
        <v>46269.41666666667</v>
      </c>
      <c r="J12" s="2" t="s">
        <v>814</v>
      </c>
      <c r="K12" s="2" t="s">
        <v>152</v>
      </c>
      <c r="L12" s="4">
        <v>84.59</v>
      </c>
      <c r="M12" s="5">
        <f>IF(AND(ISNUMBER(N12),ISNUMBER(L12),L12&gt;0),ROUND(N12/L12,2),"")</f>
        <v>10393.66</v>
      </c>
      <c r="N12" s="6">
        <v>879200</v>
      </c>
      <c r="O12" s="7">
        <v>1569288</v>
      </c>
      <c r="P12" s="8">
        <f>IF(AND(ISNUMBER(N12),ISNUMBER(O12),O12&gt;0),N12/O12,"")</f>
        <v>0.5602540770081719</v>
      </c>
      <c r="Q12" s="6">
        <v>1175000</v>
      </c>
      <c r="R12" s="8">
        <f>IF(AND(ISNUMBER(Q12),ISNUMBER(N12),N12&gt;0),(Q12-N12)/N12,"")</f>
        <v>0.336442220200182</v>
      </c>
      <c r="S12" s="5">
        <f>IF(AND(ISNUMBER(Q12),ISNUMBER(L12),L12&gt;0),ROUND(Q12/L12,2),"")</f>
        <v>13890.53</v>
      </c>
      <c r="T12" s="6">
        <v>35</v>
      </c>
      <c r="U12" s="6">
        <v>8</v>
      </c>
      <c r="V12" s="9" t="s">
        <v>7</v>
      </c>
      <c r="W12" s="9" t="s">
        <v>845</v>
      </c>
    </row>
    <row r="13" spans="1:23" x14ac:dyDescent="0.25">
      <c r="A13" s="2" t="s">
        <v>34</v>
      </c>
      <c r="B13" s="2" t="s">
        <v>35</v>
      </c>
      <c r="C13" s="2" t="s">
        <v>89</v>
      </c>
      <c r="D13" s="2" t="s">
        <v>846</v>
      </c>
      <c r="E13" s="2" t="s">
        <v>847</v>
      </c>
      <c r="F13" s="2" t="s">
        <v>39</v>
      </c>
      <c r="G13" s="2" t="s">
        <v>119</v>
      </c>
      <c r="H13" s="2" t="s">
        <v>48</v>
      </c>
      <c r="I13" s="3">
        <v>46269.43402777778</v>
      </c>
      <c r="J13" s="2" t="s">
        <v>814</v>
      </c>
      <c r="K13" s="2" t="s">
        <v>49</v>
      </c>
      <c r="L13" s="4">
        <v>118.38</v>
      </c>
      <c r="M13" s="5">
        <f>IF(AND(ISNUMBER(N13),ISNUMBER(L13),L13&gt;0),ROUND(N13/L13,2),"")</f>
        <v>2335.45</v>
      </c>
      <c r="N13" s="6">
        <v>276470</v>
      </c>
      <c r="O13" s="7">
        <v>394956</v>
      </c>
      <c r="P13" s="8">
        <f>IF(AND(ISNUMBER(N13),ISNUMBER(O13),O13&gt;0),N13/O13,"")</f>
        <v>0.7000020255420857</v>
      </c>
      <c r="Q13" s="6">
        <v>364470</v>
      </c>
      <c r="R13" s="8">
        <f>IF(AND(ISNUMBER(Q13),ISNUMBER(N13),N13&gt;0),(Q13-N13)/N13,"")</f>
        <v>0.3182985495713821</v>
      </c>
      <c r="S13" s="5">
        <f>IF(AND(ISNUMBER(Q13),ISNUMBER(L13),L13&gt;0),ROUND(Q13/L13,2),"")</f>
        <v>3078.81</v>
      </c>
      <c r="T13" s="6">
        <v>38</v>
      </c>
      <c r="U13" s="6">
        <v>10</v>
      </c>
      <c r="V13" s="9" t="s">
        <v>7</v>
      </c>
      <c r="W13" s="9" t="s">
        <v>848</v>
      </c>
    </row>
    <row r="14" spans="1:23" x14ac:dyDescent="0.25">
      <c r="A14" s="2" t="s">
        <v>34</v>
      </c>
      <c r="B14" s="2" t="s">
        <v>35</v>
      </c>
      <c r="C14" s="2" t="s">
        <v>63</v>
      </c>
      <c r="D14" s="2" t="s">
        <v>849</v>
      </c>
      <c r="E14" s="2" t="s">
        <v>65</v>
      </c>
      <c r="F14" s="2" t="s">
        <v>39</v>
      </c>
      <c r="G14" s="2" t="s">
        <v>119</v>
      </c>
      <c r="H14" s="2" t="s">
        <v>41</v>
      </c>
      <c r="I14" s="3">
        <v>46269.43194444444</v>
      </c>
      <c r="J14" s="2" t="s">
        <v>814</v>
      </c>
      <c r="K14" s="2" t="s">
        <v>94</v>
      </c>
      <c r="L14" s="4">
        <v>121.39</v>
      </c>
      <c r="M14" s="5">
        <f>IF(AND(ISNUMBER(N14),ISNUMBER(L14),L14&gt;0),ROUND(N14/L14,2),"")</f>
        <v>4480.01</v>
      </c>
      <c r="N14" s="6">
        <v>543828</v>
      </c>
      <c r="O14" s="7">
        <v>971120</v>
      </c>
      <c r="P14" s="8">
        <f>IF(AND(ISNUMBER(N14),ISNUMBER(O14),O14&gt;0),N14/O14,"")</f>
        <v>0.5600008237910866</v>
      </c>
      <c r="Q14" s="6">
        <v>759828</v>
      </c>
      <c r="R14" s="8">
        <f>IF(AND(ISNUMBER(Q14),ISNUMBER(N14),N14&gt;0),(Q14-N14)/N14,"")</f>
        <v>0.39718440389240717</v>
      </c>
      <c r="S14" s="5">
        <f>IF(AND(ISNUMBER(Q14),ISNUMBER(L14),L14&gt;0),ROUND(Q14/L14,2),"")</f>
        <v>6259.4</v>
      </c>
      <c r="T14" s="6">
        <v>38</v>
      </c>
      <c r="U14" s="6">
        <v>6</v>
      </c>
      <c r="V14" s="9" t="s">
        <v>7</v>
      </c>
      <c r="W14" s="9" t="s">
        <v>850</v>
      </c>
    </row>
    <row r="15" spans="1:23" x14ac:dyDescent="0.25">
      <c r="A15" s="2" t="s">
        <v>34</v>
      </c>
      <c r="B15" s="2" t="s">
        <v>35</v>
      </c>
      <c r="C15" s="2" t="s">
        <v>67</v>
      </c>
      <c r="D15" s="2" t="s">
        <v>851</v>
      </c>
      <c r="E15" s="2" t="s">
        <v>852</v>
      </c>
      <c r="F15" s="2" t="s">
        <v>39</v>
      </c>
      <c r="G15" s="2" t="s">
        <v>119</v>
      </c>
      <c r="H15" s="2" t="s">
        <v>48</v>
      </c>
      <c r="I15" s="3">
        <v>46269.41666666667</v>
      </c>
      <c r="J15" s="2" t="s">
        <v>814</v>
      </c>
      <c r="K15" s="2" t="s">
        <v>53</v>
      </c>
      <c r="L15" s="4">
        <v>88.62</v>
      </c>
      <c r="M15" s="5">
        <f>IF(AND(ISNUMBER(N15),ISNUMBER(L15),L15&gt;0),ROUND(N15/L15,2),"")</f>
        <v>3949.45</v>
      </c>
      <c r="N15" s="6">
        <v>350000</v>
      </c>
      <c r="O15" s="7">
        <v>492308.63</v>
      </c>
      <c r="P15" s="8">
        <f>IF(AND(ISNUMBER(N15),ISNUMBER(O15),O15&gt;0),N15/O15,"")</f>
        <v>0.7109361458888096</v>
      </c>
      <c r="Q15" s="6">
        <v>422000</v>
      </c>
      <c r="R15" s="8">
        <f>IF(AND(ISNUMBER(Q15),ISNUMBER(N15),N15&gt;0),(Q15-N15)/N15,"")</f>
        <v>0.2057142857142857</v>
      </c>
      <c r="S15" s="5">
        <f>IF(AND(ISNUMBER(Q15),ISNUMBER(L15),L15&gt;0),ROUND(Q15/L15,2),"")</f>
        <v>4761.9</v>
      </c>
      <c r="T15" s="6">
        <v>10</v>
      </c>
      <c r="U15" s="6">
        <v>4</v>
      </c>
      <c r="V15" s="2" t="s">
        <v>162</v>
      </c>
      <c r="W15" s="9" t="s">
        <v>853</v>
      </c>
    </row>
    <row r="16" spans="1:23" x14ac:dyDescent="0.25">
      <c r="A16" s="2" t="s">
        <v>34</v>
      </c>
      <c r="B16" s="2" t="s">
        <v>35</v>
      </c>
      <c r="C16" s="2" t="s">
        <v>116</v>
      </c>
      <c r="D16" s="2" t="s">
        <v>854</v>
      </c>
      <c r="E16" s="2" t="s">
        <v>855</v>
      </c>
      <c r="F16" s="2" t="s">
        <v>39</v>
      </c>
      <c r="G16" s="2" t="s">
        <v>119</v>
      </c>
      <c r="H16" s="2" t="s">
        <v>48</v>
      </c>
      <c r="I16" s="3">
        <v>46269.41666666667</v>
      </c>
      <c r="J16" s="2" t="s">
        <v>814</v>
      </c>
      <c r="K16" s="2" t="s">
        <v>120</v>
      </c>
      <c r="L16" s="4">
        <v>510.45</v>
      </c>
      <c r="M16" s="5">
        <f>IF(AND(ISNUMBER(N16),ISNUMBER(L16),L16&gt;0),ROUND(N16/L16,2),"")</f>
        <v>1383.36</v>
      </c>
      <c r="N16" s="6">
        <v>706137</v>
      </c>
      <c r="O16" s="7">
        <v>1008766</v>
      </c>
      <c r="P16" s="8">
        <f>IF(AND(ISNUMBER(N16),ISNUMBER(O16),O16&gt;0),N16/O16,"")</f>
        <v>0.70000079304814</v>
      </c>
      <c r="Q16" s="6">
        <v>706137</v>
      </c>
      <c r="R16" s="8">
        <f>IF(AND(ISNUMBER(Q16),ISNUMBER(N16),N16&gt;0),(Q16-N16)/N16,"")</f>
        <v>0</v>
      </c>
      <c r="S16" s="5">
        <f>IF(AND(ISNUMBER(Q16),ISNUMBER(L16),L16&gt;0),ROUND(Q16/L16,2),"")</f>
        <v>1383.36</v>
      </c>
      <c r="T16" s="6">
        <v>1</v>
      </c>
      <c r="U16" s="6">
        <v>1</v>
      </c>
      <c r="V16" s="9" t="s">
        <v>7</v>
      </c>
      <c r="W16" s="9" t="s">
        <v>856</v>
      </c>
    </row>
    <row r="17" spans="1:23" x14ac:dyDescent="0.25">
      <c r="A17" s="2" t="s">
        <v>34</v>
      </c>
      <c r="B17" s="2" t="s">
        <v>35</v>
      </c>
      <c r="C17" s="2" t="s">
        <v>857</v>
      </c>
      <c r="D17" s="2" t="s">
        <v>858</v>
      </c>
      <c r="E17" s="2" t="s">
        <v>859</v>
      </c>
      <c r="F17" s="2" t="s">
        <v>39</v>
      </c>
      <c r="G17" s="2" t="s">
        <v>119</v>
      </c>
      <c r="H17" s="2" t="s">
        <v>41</v>
      </c>
      <c r="I17" s="3">
        <v>46269.41666666667</v>
      </c>
      <c r="J17" s="2" t="s">
        <v>814</v>
      </c>
      <c r="K17" s="2" t="s">
        <v>860</v>
      </c>
      <c r="L17" s="4">
        <v>88.07</v>
      </c>
      <c r="M17" s="5">
        <f>IF(AND(ISNUMBER(N17),ISNUMBER(L17),L17&gt;0),ROUND(N17/L17,2),"")</f>
        <v>2468.58</v>
      </c>
      <c r="N17" s="6">
        <v>217408</v>
      </c>
      <c r="O17" s="7">
        <v>339700</v>
      </c>
      <c r="P17" s="8">
        <f>IF(AND(ISNUMBER(N17),ISNUMBER(O17),O17&gt;0),N17/O17,"")</f>
        <v>0.64</v>
      </c>
      <c r="Q17" s="6">
        <v>217408</v>
      </c>
      <c r="R17" s="8">
        <f>IF(AND(ISNUMBER(Q17),ISNUMBER(N17),N17&gt;0),(Q17-N17)/N17,"")</f>
        <v>0</v>
      </c>
      <c r="S17" s="5">
        <f>IF(AND(ISNUMBER(Q17),ISNUMBER(L17),L17&gt;0),ROUND(Q17/L17,2),"")</f>
        <v>2468.58</v>
      </c>
      <c r="T17" s="6">
        <v>1</v>
      </c>
      <c r="U17" s="6">
        <v>1</v>
      </c>
      <c r="V17" s="2" t="s">
        <v>130</v>
      </c>
      <c r="W17" s="9" t="s">
        <v>861</v>
      </c>
    </row>
    <row r="18" spans="1:23" x14ac:dyDescent="0.25">
      <c r="A18" s="2" t="s">
        <v>34</v>
      </c>
      <c r="B18" s="2" t="s">
        <v>35</v>
      </c>
      <c r="C18" s="2" t="s">
        <v>857</v>
      </c>
      <c r="D18" s="2" t="s">
        <v>862</v>
      </c>
      <c r="E18" s="2" t="s">
        <v>859</v>
      </c>
      <c r="F18" s="2" t="s">
        <v>39</v>
      </c>
      <c r="G18" s="2" t="s">
        <v>119</v>
      </c>
      <c r="H18" s="2" t="s">
        <v>41</v>
      </c>
      <c r="I18" s="3">
        <v>46269.41666666667</v>
      </c>
      <c r="J18" s="2" t="s">
        <v>814</v>
      </c>
      <c r="K18" s="2" t="s">
        <v>860</v>
      </c>
      <c r="L18" s="4">
        <v>115.7</v>
      </c>
      <c r="M18" s="5">
        <f>IF(AND(ISNUMBER(N18),ISNUMBER(L18),L18&gt;0),ROUND(N18/L18,2),"")</f>
        <v>2539.53</v>
      </c>
      <c r="N18" s="6">
        <v>293824</v>
      </c>
      <c r="O18" s="7">
        <v>459100</v>
      </c>
      <c r="P18" s="8">
        <f>IF(AND(ISNUMBER(N18),ISNUMBER(O18),O18&gt;0),N18/O18,"")</f>
        <v>0.64</v>
      </c>
      <c r="Q18" s="6">
        <v>293824</v>
      </c>
      <c r="R18" s="8">
        <f>IF(AND(ISNUMBER(Q18),ISNUMBER(N18),N18&gt;0),(Q18-N18)/N18,"")</f>
        <v>0</v>
      </c>
      <c r="S18" s="5">
        <f>IF(AND(ISNUMBER(Q18),ISNUMBER(L18),L18&gt;0),ROUND(Q18/L18,2),"")</f>
        <v>2539.53</v>
      </c>
      <c r="T18" s="6">
        <v>1</v>
      </c>
      <c r="U18" s="6">
        <v>1</v>
      </c>
      <c r="V18" s="2" t="s">
        <v>863</v>
      </c>
      <c r="W18" s="9" t="s">
        <v>864</v>
      </c>
    </row>
    <row r="19" spans="1:23" x14ac:dyDescent="0.25">
      <c r="A19" s="2" t="s">
        <v>34</v>
      </c>
      <c r="B19" s="2" t="s">
        <v>35</v>
      </c>
      <c r="C19" s="2" t="s">
        <v>45</v>
      </c>
      <c r="D19" s="2" t="s">
        <v>865</v>
      </c>
      <c r="E19" s="2" t="s">
        <v>866</v>
      </c>
      <c r="F19" s="2" t="s">
        <v>39</v>
      </c>
      <c r="G19" s="2" t="s">
        <v>119</v>
      </c>
      <c r="H19" s="2" t="s">
        <v>41</v>
      </c>
      <c r="I19" s="3">
        <v>46268.44097222222</v>
      </c>
      <c r="J19" s="2" t="s">
        <v>814</v>
      </c>
      <c r="K19" s="2" t="s">
        <v>49</v>
      </c>
      <c r="L19" s="4">
        <v>91</v>
      </c>
      <c r="M19" s="5">
        <f>IF(AND(ISNUMBER(N19),ISNUMBER(L19),L19&gt;0),ROUND(N19/L19,2),"")</f>
        <v>4283.88</v>
      </c>
      <c r="N19" s="6">
        <v>389833</v>
      </c>
      <c r="O19" s="7">
        <v>696130</v>
      </c>
      <c r="P19" s="8">
        <f>IF(AND(ISNUMBER(N19),ISNUMBER(O19),O19&gt;0),N19/O19,"")</f>
        <v>0.5600002873026589</v>
      </c>
      <c r="Q19" s="6">
        <v>488833</v>
      </c>
      <c r="R19" s="8">
        <f>IF(AND(ISNUMBER(Q19),ISNUMBER(N19),N19&gt;0),(Q19-N19)/N19,"")</f>
        <v>0.2539548986360826</v>
      </c>
      <c r="S19" s="5">
        <f>IF(AND(ISNUMBER(Q19),ISNUMBER(L19),L19&gt;0),ROUND(Q19/L19,2),"")</f>
        <v>5371.79</v>
      </c>
      <c r="T19" s="6">
        <v>29</v>
      </c>
      <c r="U19" s="6">
        <v>7</v>
      </c>
      <c r="V19" s="9" t="s">
        <v>7</v>
      </c>
      <c r="W19" s="9" t="s">
        <v>867</v>
      </c>
    </row>
    <row r="20" spans="1:23" x14ac:dyDescent="0.25">
      <c r="A20" s="2" t="s">
        <v>34</v>
      </c>
      <c r="B20" s="2" t="s">
        <v>35</v>
      </c>
      <c r="C20" s="2" t="s">
        <v>45</v>
      </c>
      <c r="D20" s="2" t="s">
        <v>868</v>
      </c>
      <c r="E20" s="2" t="s">
        <v>869</v>
      </c>
      <c r="F20" s="2" t="s">
        <v>39</v>
      </c>
      <c r="G20" s="2" t="s">
        <v>119</v>
      </c>
      <c r="H20" s="2" t="s">
        <v>48</v>
      </c>
      <c r="I20" s="3">
        <v>46268.43194444444</v>
      </c>
      <c r="J20" s="2" t="s">
        <v>814</v>
      </c>
      <c r="K20" s="2" t="s">
        <v>49</v>
      </c>
      <c r="L20" s="4">
        <v>136.95</v>
      </c>
      <c r="M20" s="5">
        <f>IF(AND(ISNUMBER(N20),ISNUMBER(L20),L20&gt;0),ROUND(N20/L20,2),"")</f>
        <v>7754.62</v>
      </c>
      <c r="N20" s="6">
        <v>1061995</v>
      </c>
      <c r="O20" s="7">
        <v>1517133</v>
      </c>
      <c r="P20" s="8">
        <f>IF(AND(ISNUMBER(N20),ISNUMBER(O20),O20&gt;0),N20/O20,"")</f>
        <v>0.7000012523621858</v>
      </c>
      <c r="Q20" s="6">
        <v>1301995</v>
      </c>
      <c r="R20" s="8">
        <f>IF(AND(ISNUMBER(Q20),ISNUMBER(N20),N20&gt;0),(Q20-N20)/N20,"")</f>
        <v>0.22598976454691405</v>
      </c>
      <c r="S20" s="5">
        <f>IF(AND(ISNUMBER(Q20),ISNUMBER(L20),L20&gt;0),ROUND(Q20/L20,2),"")</f>
        <v>9507.08</v>
      </c>
      <c r="T20" s="6">
        <v>42</v>
      </c>
      <c r="U20" s="6">
        <v>11</v>
      </c>
      <c r="V20" s="9" t="s">
        <v>7</v>
      </c>
      <c r="W20" s="9" t="s">
        <v>870</v>
      </c>
    </row>
    <row r="21" spans="1:23" x14ac:dyDescent="0.25">
      <c r="A21" s="2" t="s">
        <v>34</v>
      </c>
      <c r="B21" s="2" t="s">
        <v>35</v>
      </c>
      <c r="C21" s="2" t="s">
        <v>45</v>
      </c>
      <c r="D21" s="2" t="s">
        <v>871</v>
      </c>
      <c r="E21" s="2" t="s">
        <v>872</v>
      </c>
      <c r="F21" s="2" t="s">
        <v>39</v>
      </c>
      <c r="G21" s="2" t="s">
        <v>119</v>
      </c>
      <c r="H21" s="2" t="s">
        <v>41</v>
      </c>
      <c r="I21" s="3">
        <v>46268.430555555555</v>
      </c>
      <c r="J21" s="2" t="s">
        <v>814</v>
      </c>
      <c r="K21" s="2" t="s">
        <v>49</v>
      </c>
      <c r="L21" s="4">
        <v>100.15</v>
      </c>
      <c r="M21" s="5">
        <f>IF(AND(ISNUMBER(N21),ISNUMBER(L21),L21&gt;0),ROUND(N21/L21,2),"")</f>
        <v>4947.59</v>
      </c>
      <c r="N21" s="6">
        <v>495501</v>
      </c>
      <c r="O21" s="7">
        <v>884821.53</v>
      </c>
      <c r="P21" s="8">
        <f>IF(AND(ISNUMBER(N21),ISNUMBER(O21),O21&gt;0),N21/O21,"")</f>
        <v>0.560001065977678</v>
      </c>
      <c r="Q21" s="6">
        <v>642501</v>
      </c>
      <c r="R21" s="8">
        <f>IF(AND(ISNUMBER(Q21),ISNUMBER(N21),N21&gt;0),(Q21-N21)/N21,"")</f>
        <v>0.2966694315450423</v>
      </c>
      <c r="S21" s="5">
        <f>IF(AND(ISNUMBER(Q21),ISNUMBER(L21),L21&gt;0),ROUND(Q21/L21,2),"")</f>
        <v>6415.39</v>
      </c>
      <c r="T21" s="6">
        <v>42</v>
      </c>
      <c r="U21" s="6">
        <v>4</v>
      </c>
      <c r="V21" s="9" t="s">
        <v>7</v>
      </c>
      <c r="W21" s="9" t="s">
        <v>873</v>
      </c>
    </row>
    <row r="22" spans="1:23" x14ac:dyDescent="0.25">
      <c r="A22" s="2" t="s">
        <v>34</v>
      </c>
      <c r="B22" s="2" t="s">
        <v>35</v>
      </c>
      <c r="C22" s="2" t="s">
        <v>67</v>
      </c>
      <c r="D22" s="2" t="s">
        <v>874</v>
      </c>
      <c r="E22" s="2" t="s">
        <v>875</v>
      </c>
      <c r="F22" s="2" t="s">
        <v>39</v>
      </c>
      <c r="G22" s="2" t="s">
        <v>119</v>
      </c>
      <c r="H22" s="2" t="s">
        <v>48</v>
      </c>
      <c r="I22" s="3">
        <v>46268.42361111111</v>
      </c>
      <c r="J22" s="2" t="s">
        <v>814</v>
      </c>
      <c r="K22" s="2" t="s">
        <v>53</v>
      </c>
      <c r="L22" s="4">
        <v>79.8</v>
      </c>
      <c r="M22" s="5">
        <f>IF(AND(ISNUMBER(N22),ISNUMBER(L22),L22&gt;0),ROUND(N22/L22,2),"")</f>
        <v>4121.4</v>
      </c>
      <c r="N22" s="6">
        <v>328888</v>
      </c>
      <c r="O22" s="7">
        <v>464407</v>
      </c>
      <c r="P22" s="8">
        <f>IF(AND(ISNUMBER(N22),ISNUMBER(O22),O22&gt;0),N22/O22,"")</f>
        <v>0.708189153048942</v>
      </c>
      <c r="Q22" s="6">
        <v>382888</v>
      </c>
      <c r="R22" s="8">
        <f>IF(AND(ISNUMBER(Q22),ISNUMBER(N22),N22&gt;0),(Q22-N22)/N22,"")</f>
        <v>0.1641896329449539</v>
      </c>
      <c r="S22" s="5">
        <f>IF(AND(ISNUMBER(Q22),ISNUMBER(L22),L22&gt;0),ROUND(Q22/L22,2),"")</f>
        <v>4798.1</v>
      </c>
      <c r="T22" s="6">
        <v>13</v>
      </c>
      <c r="U22" s="6">
        <v>4</v>
      </c>
      <c r="V22" s="2" t="s">
        <v>126</v>
      </c>
      <c r="W22" s="9" t="s">
        <v>876</v>
      </c>
    </row>
    <row r="23" spans="1:23" x14ac:dyDescent="0.25">
      <c r="A23" s="2" t="s">
        <v>34</v>
      </c>
      <c r="B23" s="2" t="s">
        <v>35</v>
      </c>
      <c r="C23" s="2" t="s">
        <v>45</v>
      </c>
      <c r="D23" s="2" t="s">
        <v>877</v>
      </c>
      <c r="E23" s="2" t="s">
        <v>869</v>
      </c>
      <c r="F23" s="2" t="s">
        <v>39</v>
      </c>
      <c r="G23" s="2" t="s">
        <v>119</v>
      </c>
      <c r="H23" s="2" t="s">
        <v>48</v>
      </c>
      <c r="I23" s="3">
        <v>46268.41666666667</v>
      </c>
      <c r="J23" s="2" t="s">
        <v>814</v>
      </c>
      <c r="K23" s="2" t="s">
        <v>49</v>
      </c>
      <c r="L23" s="4">
        <v>75.96</v>
      </c>
      <c r="M23" s="5">
        <f>IF(AND(ISNUMBER(N23),ISNUMBER(L23),L23&gt;0),ROUND(N23/L23,2),"")</f>
        <v>7470.5</v>
      </c>
      <c r="N23" s="6">
        <v>567459</v>
      </c>
      <c r="O23" s="7">
        <v>810655.22</v>
      </c>
      <c r="P23" s="8">
        <f>IF(AND(ISNUMBER(N23),ISNUMBER(O23),O23&gt;0),N23/O23,"")</f>
        <v>0.7000004268152372</v>
      </c>
      <c r="Q23" s="6">
        <v>772459</v>
      </c>
      <c r="R23" s="8">
        <f>IF(AND(ISNUMBER(Q23),ISNUMBER(N23),N23&gt;0),(Q23-N23)/N23,"")</f>
        <v>0.3612595799872766</v>
      </c>
      <c r="S23" s="5">
        <f>IF(AND(ISNUMBER(Q23),ISNUMBER(L23),L23&gt;0),ROUND(Q23/L23,2),"")</f>
        <v>10169.29</v>
      </c>
      <c r="T23" s="6">
        <v>37</v>
      </c>
      <c r="U23" s="6">
        <v>16</v>
      </c>
      <c r="V23" s="9" t="s">
        <v>7</v>
      </c>
      <c r="W23" s="9" t="s">
        <v>878</v>
      </c>
    </row>
    <row r="24" spans="1:23" x14ac:dyDescent="0.25">
      <c r="A24" s="2" t="s">
        <v>34</v>
      </c>
      <c r="B24" s="2" t="s">
        <v>35</v>
      </c>
      <c r="C24" s="2" t="s">
        <v>45</v>
      </c>
      <c r="D24" s="2" t="s">
        <v>879</v>
      </c>
      <c r="E24" s="2" t="s">
        <v>224</v>
      </c>
      <c r="F24" s="2" t="s">
        <v>39</v>
      </c>
      <c r="G24" s="2" t="s">
        <v>119</v>
      </c>
      <c r="H24" s="2" t="s">
        <v>41</v>
      </c>
      <c r="I24" s="3">
        <v>46268.41666666667</v>
      </c>
      <c r="J24" s="2" t="s">
        <v>814</v>
      </c>
      <c r="K24" s="2" t="s">
        <v>49</v>
      </c>
      <c r="L24" s="4">
        <v>281.11</v>
      </c>
      <c r="M24" s="5">
        <f>IF(AND(ISNUMBER(N24),ISNUMBER(L24),L24&gt;0),ROUND(N24/L24,2),"")</f>
        <v>7067.03</v>
      </c>
      <c r="N24" s="6">
        <v>1986614</v>
      </c>
      <c r="O24" s="7">
        <v>3547524.26</v>
      </c>
      <c r="P24" s="8">
        <f>IF(AND(ISNUMBER(N24),ISNUMBER(O24),O24&gt;0),N24/O24,"")</f>
        <v>0.5600001168138594</v>
      </c>
      <c r="Q24" s="6">
        <v>1986614</v>
      </c>
      <c r="R24" s="8">
        <f>IF(AND(ISNUMBER(Q24),ISNUMBER(N24),N24&gt;0),(Q24-N24)/N24,"")</f>
        <v>0</v>
      </c>
      <c r="S24" s="5">
        <f>IF(AND(ISNUMBER(Q24),ISNUMBER(L24),L24&gt;0),ROUND(Q24/L24,2),"")</f>
        <v>7067.03</v>
      </c>
      <c r="T24" s="6">
        <v>1</v>
      </c>
      <c r="U24" s="6">
        <v>1</v>
      </c>
      <c r="V24" s="9" t="s">
        <v>7</v>
      </c>
      <c r="W24" s="9" t="s">
        <v>880</v>
      </c>
    </row>
    <row r="25" spans="1:23" x14ac:dyDescent="0.25">
      <c r="A25" s="2" t="s">
        <v>34</v>
      </c>
      <c r="B25" s="2" t="s">
        <v>35</v>
      </c>
      <c r="C25" s="2" t="s">
        <v>89</v>
      </c>
      <c r="D25" s="2" t="s">
        <v>881</v>
      </c>
      <c r="E25" s="2" t="s">
        <v>882</v>
      </c>
      <c r="F25" s="2" t="s">
        <v>39</v>
      </c>
      <c r="G25" s="2" t="s">
        <v>119</v>
      </c>
      <c r="H25" s="2" t="s">
        <v>78</v>
      </c>
      <c r="I25" s="3">
        <v>46267.82291666667</v>
      </c>
      <c r="J25" s="2" t="s">
        <v>814</v>
      </c>
      <c r="K25" s="2" t="s">
        <v>275</v>
      </c>
      <c r="L25" s="4">
        <v>238.07</v>
      </c>
      <c r="M25" s="5">
        <f>IF(AND(ISNUMBER(N25),ISNUMBER(L25),L25&gt;0),ROUND(N25/L25,2),"")</f>
        <v>5334.9</v>
      </c>
      <c r="N25" s="6">
        <v>1270080</v>
      </c>
      <c r="O25" s="7">
        <v>1764000</v>
      </c>
      <c r="P25" s="8">
        <f>IF(AND(ISNUMBER(N25),ISNUMBER(O25),O25&gt;0),N25/O25,"")</f>
        <v>0.72</v>
      </c>
      <c r="Q25" s="6">
        <v>1270080</v>
      </c>
      <c r="R25" s="8">
        <f>IF(AND(ISNUMBER(Q25),ISNUMBER(N25),N25&gt;0),(Q25-N25)/N25,"")</f>
        <v>0</v>
      </c>
      <c r="S25" s="5">
        <f>IF(AND(ISNUMBER(Q25),ISNUMBER(L25),L25&gt;0),ROUND(Q25/L25,2),"")</f>
        <v>5334.9</v>
      </c>
      <c r="T25" s="6">
        <v>1</v>
      </c>
      <c r="U25" s="6">
        <v>1</v>
      </c>
      <c r="V25" s="9" t="s">
        <v>7</v>
      </c>
      <c r="W25" s="9" t="s">
        <v>883</v>
      </c>
    </row>
    <row r="26" spans="1:23" x14ac:dyDescent="0.25">
      <c r="A26" s="2" t="s">
        <v>34</v>
      </c>
      <c r="B26" s="2" t="s">
        <v>35</v>
      </c>
      <c r="C26" s="2" t="s">
        <v>63</v>
      </c>
      <c r="D26" s="2" t="s">
        <v>884</v>
      </c>
      <c r="E26" s="2" t="s">
        <v>885</v>
      </c>
      <c r="F26" s="2" t="s">
        <v>133</v>
      </c>
      <c r="G26" s="2" t="s">
        <v>119</v>
      </c>
      <c r="H26" s="2" t="s">
        <v>48</v>
      </c>
      <c r="I26" s="3">
        <v>46267.50069444445</v>
      </c>
      <c r="J26" s="2" t="s">
        <v>814</v>
      </c>
      <c r="K26" s="2" t="s">
        <v>49</v>
      </c>
      <c r="L26" s="4">
        <v>53.55</v>
      </c>
      <c r="M26" s="5">
        <f>IF(AND(ISNUMBER(N26),ISNUMBER(L26),L26&gt;0),ROUND(N26/L26,2),"")</f>
        <v>5000</v>
      </c>
      <c r="N26" s="6">
        <v>267750</v>
      </c>
      <c r="O26" s="7">
        <v>267750</v>
      </c>
      <c r="P26" s="8">
        <f>IF(AND(ISNUMBER(N26),ISNUMBER(O26),O26&gt;0),N26/O26,"")</f>
        <v>1</v>
      </c>
      <c r="Q26" s="6">
        <v>469750</v>
      </c>
      <c r="R26" s="8">
        <f>IF(AND(ISNUMBER(Q26),ISNUMBER(N26),N26&gt;0),(Q26-N26)/N26,"")</f>
        <v>0.7544351073762838</v>
      </c>
      <c r="S26" s="5">
        <f>IF(AND(ISNUMBER(Q26),ISNUMBER(L26),L26&gt;0),ROUND(Q26/L26,2),"")</f>
        <v>8772.18</v>
      </c>
      <c r="T26" s="6">
        <v>95</v>
      </c>
      <c r="U26" s="6">
        <v>9</v>
      </c>
      <c r="V26" s="9" t="s">
        <v>7</v>
      </c>
      <c r="W26" s="9" t="s">
        <v>886</v>
      </c>
    </row>
    <row r="27" spans="1:23" x14ac:dyDescent="0.25">
      <c r="A27" s="2" t="s">
        <v>34</v>
      </c>
      <c r="B27" s="2" t="s">
        <v>35</v>
      </c>
      <c r="C27" s="2" t="s">
        <v>45</v>
      </c>
      <c r="D27" s="2" t="s">
        <v>887</v>
      </c>
      <c r="E27" s="2" t="s">
        <v>888</v>
      </c>
      <c r="F27" s="2" t="s">
        <v>39</v>
      </c>
      <c r="G27" s="2" t="s">
        <v>119</v>
      </c>
      <c r="H27" s="2" t="s">
        <v>48</v>
      </c>
      <c r="I27" s="3">
        <v>46267.44791666667</v>
      </c>
      <c r="J27" s="2" t="s">
        <v>814</v>
      </c>
      <c r="K27" s="2" t="s">
        <v>120</v>
      </c>
      <c r="L27" s="4">
        <v>338.19</v>
      </c>
      <c r="M27" s="5">
        <f>IF(AND(ISNUMBER(N27),ISNUMBER(L27),L27&gt;0),ROUND(N27/L27,2),"")</f>
        <v>93763.86</v>
      </c>
      <c r="N27" s="6">
        <v>31710000</v>
      </c>
      <c r="O27" s="7">
        <v>45298900</v>
      </c>
      <c r="P27" s="8">
        <f>IF(AND(ISNUMBER(N27),ISNUMBER(O27),O27&gt;0),N27/O27,"")</f>
        <v>0.7000169982052544</v>
      </c>
      <c r="Q27" s="6">
        <v>38310000</v>
      </c>
      <c r="R27" s="8">
        <f>IF(AND(ISNUMBER(Q27),ISNUMBER(N27),N27&gt;0),(Q27-N27)/N27,"")</f>
        <v>0.20813623462630085</v>
      </c>
      <c r="S27" s="5">
        <f>IF(AND(ISNUMBER(Q27),ISNUMBER(L27),L27&gt;0),ROUND(Q27/L27,2),"")</f>
        <v>113279.52</v>
      </c>
      <c r="T27" s="6">
        <v>41</v>
      </c>
      <c r="U27" s="6">
        <v>5</v>
      </c>
      <c r="V27" s="9" t="s">
        <v>7</v>
      </c>
      <c r="W27" s="9" t="s">
        <v>889</v>
      </c>
    </row>
    <row r="28" spans="1:23" x14ac:dyDescent="0.25">
      <c r="A28" s="2" t="s">
        <v>34</v>
      </c>
      <c r="B28" s="2" t="s">
        <v>364</v>
      </c>
      <c r="C28" s="2" t="s">
        <v>592</v>
      </c>
      <c r="D28" s="2" t="s">
        <v>890</v>
      </c>
      <c r="E28" s="2" t="s">
        <v>763</v>
      </c>
      <c r="F28" s="2" t="s">
        <v>39</v>
      </c>
      <c r="G28" s="2" t="s">
        <v>119</v>
      </c>
      <c r="H28" s="2" t="s">
        <v>48</v>
      </c>
      <c r="I28" s="3">
        <v>46269.41666666667</v>
      </c>
      <c r="J28" s="2" t="s">
        <v>814</v>
      </c>
      <c r="K28" s="2" t="s">
        <v>661</v>
      </c>
      <c r="L28" s="4">
        <v>67.55</v>
      </c>
      <c r="M28" s="5">
        <f>IF(AND(ISNUMBER(N28),ISNUMBER(L28),L28&gt;0),ROUND(N28/L28,2),"")</f>
        <v>7446.34</v>
      </c>
      <c r="N28" s="6">
        <v>503000</v>
      </c>
      <c r="O28" s="7">
        <v>716800</v>
      </c>
      <c r="P28" s="8">
        <f>IF(AND(ISNUMBER(N28),ISNUMBER(O28),O28&gt;0),N28/O28,"")</f>
        <v>0.7017299107142857</v>
      </c>
      <c r="Q28" s="6">
        <v>503000</v>
      </c>
      <c r="R28" s="8">
        <f>IF(AND(ISNUMBER(Q28),ISNUMBER(N28),N28&gt;0),(Q28-N28)/N28,"")</f>
        <v>0</v>
      </c>
      <c r="S28" s="5">
        <f>IF(AND(ISNUMBER(Q28),ISNUMBER(L28),L28&gt;0),ROUND(Q28/L28,2),"")</f>
        <v>7446.34</v>
      </c>
      <c r="T28" s="6">
        <v>1</v>
      </c>
      <c r="U28" s="6">
        <v>1</v>
      </c>
      <c r="V28" s="2" t="s">
        <v>130</v>
      </c>
      <c r="W28" s="9" t="s">
        <v>891</v>
      </c>
    </row>
    <row r="29" spans="1:23" x14ac:dyDescent="0.25">
      <c r="A29" s="2" t="s">
        <v>34</v>
      </c>
      <c r="B29" s="2" t="s">
        <v>364</v>
      </c>
      <c r="C29" s="2" t="s">
        <v>365</v>
      </c>
      <c r="D29" s="2" t="s">
        <v>892</v>
      </c>
      <c r="E29" s="2" t="s">
        <v>893</v>
      </c>
      <c r="F29" s="2" t="s">
        <v>39</v>
      </c>
      <c r="G29" s="2" t="s">
        <v>119</v>
      </c>
      <c r="H29" s="2" t="s">
        <v>48</v>
      </c>
      <c r="I29" s="3">
        <v>46269.41666666667</v>
      </c>
      <c r="J29" s="2" t="s">
        <v>814</v>
      </c>
      <c r="K29" s="2" t="s">
        <v>368</v>
      </c>
      <c r="L29" s="4">
        <v>87.92</v>
      </c>
      <c r="M29" s="5">
        <f>IF(AND(ISNUMBER(N29),ISNUMBER(L29),L29&gt;0),ROUND(N29/L29,2),"")</f>
        <v>2808.48</v>
      </c>
      <c r="N29" s="6">
        <v>246922</v>
      </c>
      <c r="O29" s="7">
        <v>352745</v>
      </c>
      <c r="P29" s="8">
        <f>IF(AND(ISNUMBER(N29),ISNUMBER(O29),O29&gt;0),N29/O29,"")</f>
        <v>0.7000014174545351</v>
      </c>
      <c r="Q29" s="6">
        <v>246922</v>
      </c>
      <c r="R29" s="8">
        <f>IF(AND(ISNUMBER(Q29),ISNUMBER(N29),N29&gt;0),(Q29-N29)/N29,"")</f>
        <v>0</v>
      </c>
      <c r="S29" s="5">
        <f>IF(AND(ISNUMBER(Q29),ISNUMBER(L29),L29&gt;0),ROUND(Q29/L29,2),"")</f>
        <v>2808.48</v>
      </c>
      <c r="T29" s="6">
        <v>1</v>
      </c>
      <c r="U29" s="6">
        <v>1</v>
      </c>
      <c r="V29" s="9" t="s">
        <v>7</v>
      </c>
      <c r="W29" s="9" t="s">
        <v>894</v>
      </c>
    </row>
    <row r="30" spans="1:23" x14ac:dyDescent="0.25">
      <c r="A30" s="2" t="s">
        <v>34</v>
      </c>
      <c r="B30" s="2" t="s">
        <v>364</v>
      </c>
      <c r="C30" s="2" t="s">
        <v>585</v>
      </c>
      <c r="D30" s="2" t="s">
        <v>895</v>
      </c>
      <c r="E30" s="2" t="s">
        <v>896</v>
      </c>
      <c r="F30" s="2" t="s">
        <v>39</v>
      </c>
      <c r="G30" s="2" t="s">
        <v>119</v>
      </c>
      <c r="H30" s="2" t="s">
        <v>78</v>
      </c>
      <c r="I30" s="3">
        <v>46302.41666666667</v>
      </c>
      <c r="J30" s="2" t="s">
        <v>814</v>
      </c>
      <c r="K30" s="2" t="s">
        <v>661</v>
      </c>
      <c r="L30" s="4">
        <v>130.09</v>
      </c>
      <c r="M30" s="5">
        <f>IF(AND(ISNUMBER(N30),ISNUMBER(L30),L30&gt;0),ROUND(N30/L30,2),"")</f>
        <v>6610.81</v>
      </c>
      <c r="N30" s="6">
        <v>860000</v>
      </c>
      <c r="O30" s="7">
        <v>1512000</v>
      </c>
      <c r="P30" s="8">
        <f>IF(AND(ISNUMBER(N30),ISNUMBER(O30),O30&gt;0),N30/O30,"")</f>
        <v>0.5687830687830688</v>
      </c>
      <c r="Q30" s="6">
        <v>860000</v>
      </c>
      <c r="R30" s="8">
        <f>IF(AND(ISNUMBER(Q30),ISNUMBER(N30),N30&gt;0),(Q30-N30)/N30,"")</f>
        <v>0</v>
      </c>
      <c r="S30" s="5">
        <f>IF(AND(ISNUMBER(Q30),ISNUMBER(L30),L30&gt;0),ROUND(Q30/L30,2),"")</f>
        <v>6610.81</v>
      </c>
      <c r="T30" s="6">
        <v>1</v>
      </c>
      <c r="U30" s="6">
        <v>1</v>
      </c>
      <c r="V30" s="9" t="s">
        <v>7</v>
      </c>
      <c r="W30" s="9" t="s">
        <v>897</v>
      </c>
    </row>
    <row r="31" spans="1:23" x14ac:dyDescent="0.25">
      <c r="A31" s="2" t="s">
        <v>34</v>
      </c>
      <c r="B31" s="2" t="s">
        <v>364</v>
      </c>
      <c r="C31" s="2" t="s">
        <v>592</v>
      </c>
      <c r="D31" s="2" t="s">
        <v>898</v>
      </c>
      <c r="E31" s="2" t="s">
        <v>899</v>
      </c>
      <c r="F31" s="2" t="s">
        <v>39</v>
      </c>
      <c r="G31" s="2" t="s">
        <v>119</v>
      </c>
      <c r="H31" s="2" t="s">
        <v>41</v>
      </c>
      <c r="I31" s="3">
        <v>46268.42083333334</v>
      </c>
      <c r="J31" s="2" t="s">
        <v>814</v>
      </c>
      <c r="K31" s="2" t="s">
        <v>834</v>
      </c>
      <c r="L31" s="4">
        <v>115.12</v>
      </c>
      <c r="M31" s="5">
        <f>IF(AND(ISNUMBER(N31),ISNUMBER(L31),L31&gt;0),ROUND(N31/L31,2),"")</f>
        <v>3939.91</v>
      </c>
      <c r="N31" s="6">
        <v>453563</v>
      </c>
      <c r="O31" s="7">
        <v>809932</v>
      </c>
      <c r="P31" s="8">
        <f>IF(AND(ISNUMBER(N31),ISNUMBER(O31),O31&gt;0),N31/O31,"")</f>
        <v>0.5600013334452769</v>
      </c>
      <c r="Q31" s="6">
        <v>505563</v>
      </c>
      <c r="R31" s="8">
        <f>IF(AND(ISNUMBER(Q31),ISNUMBER(N31),N31&gt;0),(Q31-N31)/N31,"")</f>
        <v>0.11464779975438914</v>
      </c>
      <c r="S31" s="5">
        <f>IF(AND(ISNUMBER(Q31),ISNUMBER(L31),L31&gt;0),ROUND(Q31/L31,2),"")</f>
        <v>4391.62</v>
      </c>
      <c r="T31" s="6">
        <v>14</v>
      </c>
      <c r="U31" s="6">
        <v>5</v>
      </c>
      <c r="V31" s="2" t="s">
        <v>162</v>
      </c>
      <c r="W31" s="9" t="s">
        <v>900</v>
      </c>
    </row>
    <row r="32" spans="1:23" x14ac:dyDescent="0.25">
      <c r="A32" s="2" t="s">
        <v>34</v>
      </c>
      <c r="B32" s="2" t="s">
        <v>364</v>
      </c>
      <c r="C32" s="2" t="s">
        <v>365</v>
      </c>
      <c r="D32" s="2" t="s">
        <v>901</v>
      </c>
      <c r="E32" s="2" t="s">
        <v>61</v>
      </c>
      <c r="F32" s="2" t="s">
        <v>39</v>
      </c>
      <c r="G32" s="2" t="s">
        <v>119</v>
      </c>
      <c r="H32" s="2" t="s">
        <v>78</v>
      </c>
      <c r="I32" s="3">
        <v>46325.41666666667</v>
      </c>
      <c r="J32" s="2" t="s">
        <v>814</v>
      </c>
      <c r="K32" s="2" t="s">
        <v>368</v>
      </c>
      <c r="L32" s="4">
        <v>89.56</v>
      </c>
      <c r="M32" s="5">
        <f>IF(AND(ISNUMBER(N32),ISNUMBER(L32),L32&gt;0),ROUND(N32/L32,2),"")</f>
        <v>8441.27</v>
      </c>
      <c r="N32" s="6">
        <v>756000</v>
      </c>
      <c r="O32" s="7">
        <v>1350000</v>
      </c>
      <c r="P32" s="8">
        <f>IF(AND(ISNUMBER(N32),ISNUMBER(O32),O32&gt;0),N32/O32,"")</f>
        <v>0.56</v>
      </c>
      <c r="Q32" s="6">
        <v>756000</v>
      </c>
      <c r="R32" s="8">
        <f>IF(AND(ISNUMBER(Q32),ISNUMBER(N32),N32&gt;0),(Q32-N32)/N32,"")</f>
        <v>0</v>
      </c>
      <c r="S32" s="5">
        <f>IF(AND(ISNUMBER(Q32),ISNUMBER(L32),L32&gt;0),ROUND(Q32/L32,2),"")</f>
        <v>8441.27</v>
      </c>
      <c r="T32" s="6">
        <v>1</v>
      </c>
      <c r="U32" s="6">
        <v>1</v>
      </c>
      <c r="V32" s="9" t="s">
        <v>7</v>
      </c>
      <c r="W32" s="9" t="s">
        <v>902</v>
      </c>
    </row>
    <row r="33" spans="1:23" x14ac:dyDescent="0.25">
      <c r="A33" s="2" t="s">
        <v>34</v>
      </c>
      <c r="B33" s="2" t="s">
        <v>364</v>
      </c>
      <c r="C33" s="2" t="s">
        <v>477</v>
      </c>
      <c r="D33" s="2" t="s">
        <v>903</v>
      </c>
      <c r="E33" s="2" t="s">
        <v>904</v>
      </c>
      <c r="F33" s="2" t="s">
        <v>39</v>
      </c>
      <c r="G33" s="2" t="s">
        <v>119</v>
      </c>
      <c r="H33" s="2" t="s">
        <v>48</v>
      </c>
      <c r="I33" s="3">
        <v>46267.41666666667</v>
      </c>
      <c r="J33" s="2" t="s">
        <v>814</v>
      </c>
      <c r="K33" s="2" t="s">
        <v>905</v>
      </c>
      <c r="L33" s="4">
        <v>117.95</v>
      </c>
      <c r="M33" s="5">
        <f>IF(AND(ISNUMBER(N33),ISNUMBER(L33),L33&gt;0),ROUND(N33/L33,2),"")</f>
        <v>4696.91</v>
      </c>
      <c r="N33" s="6">
        <v>554000</v>
      </c>
      <c r="O33" s="7">
        <v>692272</v>
      </c>
      <c r="P33" s="8">
        <f>IF(AND(ISNUMBER(N33),ISNUMBER(O33),O33&gt;0),N33/O33,"")</f>
        <v>0.8002634802505374</v>
      </c>
      <c r="Q33" s="6">
        <v>704000</v>
      </c>
      <c r="R33" s="8">
        <f>IF(AND(ISNUMBER(Q33),ISNUMBER(N33),N33&gt;0),(Q33-N33)/N33,"")</f>
        <v>0.27075812274368233</v>
      </c>
      <c r="S33" s="5">
        <f>IF(AND(ISNUMBER(Q33),ISNUMBER(L33),L33&gt;0),ROUND(Q33/L33,2),"")</f>
        <v>5968.63</v>
      </c>
      <c r="T33" s="6">
        <v>31</v>
      </c>
      <c r="U33" s="6">
        <v>6</v>
      </c>
      <c r="V33" s="9" t="s">
        <v>7</v>
      </c>
      <c r="W33" s="9" t="s">
        <v>906</v>
      </c>
    </row>
  </sheetData>
  <autoFilter ref="A1:W3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810</v>
      </c>
      <c r="R1" s="1" t="s">
        <v>811</v>
      </c>
      <c r="S1" s="1" t="s">
        <v>32</v>
      </c>
      <c r="T1" s="1" t="s">
        <v>33</v>
      </c>
    </row>
    <row r="2" spans="1:20" x14ac:dyDescent="0.25">
      <c r="A2" s="2" t="s">
        <v>34</v>
      </c>
      <c r="B2" s="2" t="s">
        <v>35</v>
      </c>
      <c r="C2" s="2" t="s">
        <v>59</v>
      </c>
      <c r="D2" s="2" t="s">
        <v>907</v>
      </c>
      <c r="E2" s="2" t="s">
        <v>908</v>
      </c>
      <c r="F2" s="2" t="s">
        <v>39</v>
      </c>
      <c r="G2" s="2" t="s">
        <v>40</v>
      </c>
      <c r="H2" s="2" t="s">
        <v>48</v>
      </c>
      <c r="I2" s="3">
        <v>46269.41666666667</v>
      </c>
      <c r="J2" s="2" t="s">
        <v>909</v>
      </c>
      <c r="K2" s="2" t="s">
        <v>53</v>
      </c>
      <c r="L2" s="4">
        <v>107.34</v>
      </c>
      <c r="M2" s="5">
        <f>IF(AND(ISNUMBER(N2),ISNUMBER(L2),L2&gt;0),ROUND(N2/L2,2),"")</f>
        <v>7452.95</v>
      </c>
      <c r="N2" s="6">
        <v>800000</v>
      </c>
      <c r="O2" s="7">
        <v>1140699.41</v>
      </c>
      <c r="P2" s="8">
        <f>IF(AND(ISNUMBER(N2),ISNUMBER(O2),O2&gt;0),N2/O2,"")</f>
        <v>0.7013241113186865</v>
      </c>
      <c r="Q2" s="6">
        <v>0</v>
      </c>
      <c r="R2" s="6">
        <v>0</v>
      </c>
      <c r="S2" s="9" t="s">
        <v>7</v>
      </c>
      <c r="T2" s="9" t="s">
        <v>910</v>
      </c>
    </row>
    <row r="3" spans="1:20" x14ac:dyDescent="0.25">
      <c r="A3" s="2" t="s">
        <v>34</v>
      </c>
      <c r="B3" s="2" t="s">
        <v>35</v>
      </c>
      <c r="C3" s="2" t="s">
        <v>59</v>
      </c>
      <c r="D3" s="2" t="s">
        <v>911</v>
      </c>
      <c r="E3" s="2" t="s">
        <v>912</v>
      </c>
      <c r="F3" s="2" t="s">
        <v>39</v>
      </c>
      <c r="G3" s="2" t="s">
        <v>40</v>
      </c>
      <c r="H3" s="2" t="s">
        <v>48</v>
      </c>
      <c r="I3" s="3">
        <v>46269.41666666667</v>
      </c>
      <c r="J3" s="2" t="s">
        <v>909</v>
      </c>
      <c r="K3" s="2" t="s">
        <v>53</v>
      </c>
      <c r="L3" s="4">
        <v>65.04</v>
      </c>
      <c r="M3" s="5">
        <f>IF(AND(ISNUMBER(N3),ISNUMBER(L3),L3&gt;0),ROUND(N3/L3,2),"")</f>
        <v>8148.83</v>
      </c>
      <c r="N3" s="6">
        <v>530000</v>
      </c>
      <c r="O3" s="7">
        <v>750691.98</v>
      </c>
      <c r="P3" s="8">
        <f>IF(AND(ISNUMBER(N3),ISNUMBER(O3),O3&gt;0),N3/O3,"")</f>
        <v>0.7060152687391172</v>
      </c>
      <c r="Q3" s="6">
        <v>0</v>
      </c>
      <c r="R3" s="6">
        <v>0</v>
      </c>
      <c r="S3" s="9" t="s">
        <v>7</v>
      </c>
      <c r="T3" s="9" t="s">
        <v>913</v>
      </c>
    </row>
    <row r="4" spans="1:20" x14ac:dyDescent="0.25">
      <c r="A4" s="2" t="s">
        <v>34</v>
      </c>
      <c r="B4" s="2" t="s">
        <v>35</v>
      </c>
      <c r="C4" s="2" t="s">
        <v>45</v>
      </c>
      <c r="D4" s="2" t="s">
        <v>914</v>
      </c>
      <c r="E4" s="2" t="s">
        <v>915</v>
      </c>
      <c r="F4" s="2" t="s">
        <v>39</v>
      </c>
      <c r="G4" s="2" t="s">
        <v>40</v>
      </c>
      <c r="H4" s="2" t="s">
        <v>48</v>
      </c>
      <c r="I4" s="3">
        <v>46269.41666666667</v>
      </c>
      <c r="J4" s="2" t="s">
        <v>909</v>
      </c>
      <c r="K4" s="2" t="s">
        <v>53</v>
      </c>
      <c r="L4" s="4">
        <v>78.33</v>
      </c>
      <c r="M4" s="5">
        <f>IF(AND(ISNUMBER(N4),ISNUMBER(L4),L4&gt;0),ROUND(N4/L4,2),"")</f>
        <v>9830.21</v>
      </c>
      <c r="N4" s="6">
        <v>770000</v>
      </c>
      <c r="O4" s="7">
        <v>1096620</v>
      </c>
      <c r="P4" s="8">
        <f>IF(AND(ISNUMBER(N4),ISNUMBER(O4),O4&gt;0),N4/O4,"")</f>
        <v>0.7021575386186646</v>
      </c>
      <c r="Q4" s="6">
        <v>0</v>
      </c>
      <c r="R4" s="6">
        <v>0</v>
      </c>
      <c r="S4" s="9" t="s">
        <v>7</v>
      </c>
      <c r="T4" s="9" t="s">
        <v>916</v>
      </c>
    </row>
    <row r="5" spans="1:20" x14ac:dyDescent="0.25">
      <c r="A5" s="2" t="s">
        <v>34</v>
      </c>
      <c r="B5" s="2" t="s">
        <v>35</v>
      </c>
      <c r="C5" s="2" t="s">
        <v>45</v>
      </c>
      <c r="D5" s="2" t="s">
        <v>917</v>
      </c>
      <c r="E5" s="2" t="s">
        <v>918</v>
      </c>
      <c r="F5" s="2" t="s">
        <v>39</v>
      </c>
      <c r="G5" s="2" t="s">
        <v>40</v>
      </c>
      <c r="H5" s="2" t="s">
        <v>48</v>
      </c>
      <c r="I5" s="3">
        <v>46269.41666666667</v>
      </c>
      <c r="J5" s="2" t="s">
        <v>909</v>
      </c>
      <c r="K5" s="2" t="s">
        <v>53</v>
      </c>
      <c r="L5" s="4">
        <v>176.29</v>
      </c>
      <c r="M5" s="5">
        <f>IF(AND(ISNUMBER(N5),ISNUMBER(L5),L5&gt;0),ROUND(N5/L5,2),"")</f>
        <v>9813.38</v>
      </c>
      <c r="N5" s="6">
        <v>1730000</v>
      </c>
      <c r="O5" s="7">
        <v>2468060</v>
      </c>
      <c r="P5" s="8">
        <f>IF(AND(ISNUMBER(N5),ISNUMBER(O5),O5&gt;0),N5/O5,"")</f>
        <v>0.7009554062705121</v>
      </c>
      <c r="Q5" s="6">
        <v>0</v>
      </c>
      <c r="R5" s="6">
        <v>0</v>
      </c>
      <c r="S5" s="9" t="s">
        <v>7</v>
      </c>
      <c r="T5" s="9" t="s">
        <v>919</v>
      </c>
    </row>
    <row r="6" spans="1:20" x14ac:dyDescent="0.25">
      <c r="A6" s="2" t="s">
        <v>34</v>
      </c>
      <c r="B6" s="2" t="s">
        <v>35</v>
      </c>
      <c r="C6" s="2" t="s">
        <v>75</v>
      </c>
      <c r="D6" s="2" t="s">
        <v>920</v>
      </c>
      <c r="E6" s="2" t="s">
        <v>921</v>
      </c>
      <c r="F6" s="2" t="s">
        <v>39</v>
      </c>
      <c r="G6" s="2" t="s">
        <v>40</v>
      </c>
      <c r="H6" s="2" t="s">
        <v>41</v>
      </c>
      <c r="I6" s="3">
        <v>46269.41666666667</v>
      </c>
      <c r="J6" s="2" t="s">
        <v>909</v>
      </c>
      <c r="K6" s="2" t="s">
        <v>79</v>
      </c>
      <c r="L6" s="4">
        <v>145.75</v>
      </c>
      <c r="M6" s="5">
        <f>IF(AND(ISNUMBER(N6),ISNUMBER(L6),L6&gt;0),ROUND(N6/L6,2),"")</f>
        <v>3041.48</v>
      </c>
      <c r="N6" s="6">
        <v>443295</v>
      </c>
      <c r="O6" s="7">
        <v>615687.38</v>
      </c>
      <c r="P6" s="8">
        <f>IF(AND(ISNUMBER(N6),ISNUMBER(O6),O6&gt;0),N6/O6,"")</f>
        <v>0.7200001403309582</v>
      </c>
      <c r="Q6" s="6">
        <v>0</v>
      </c>
      <c r="R6" s="6">
        <v>1</v>
      </c>
      <c r="S6" s="9" t="s">
        <v>7</v>
      </c>
      <c r="T6" s="9" t="s">
        <v>922</v>
      </c>
    </row>
    <row r="7" spans="1:20" x14ac:dyDescent="0.25">
      <c r="A7" s="2" t="s">
        <v>34</v>
      </c>
      <c r="B7" s="2" t="s">
        <v>35</v>
      </c>
      <c r="C7" s="2" t="s">
        <v>59</v>
      </c>
      <c r="D7" s="2" t="s">
        <v>923</v>
      </c>
      <c r="E7" s="2" t="s">
        <v>924</v>
      </c>
      <c r="F7" s="2" t="s">
        <v>39</v>
      </c>
      <c r="G7" s="2" t="s">
        <v>40</v>
      </c>
      <c r="H7" s="2" t="s">
        <v>41</v>
      </c>
      <c r="I7" s="3">
        <v>46268.41666666667</v>
      </c>
      <c r="J7" s="2" t="s">
        <v>909</v>
      </c>
      <c r="K7" s="2" t="s">
        <v>53</v>
      </c>
      <c r="L7" s="4">
        <v>110.84</v>
      </c>
      <c r="M7" s="5">
        <f>IF(AND(ISNUMBER(N7),ISNUMBER(L7),L7&gt;0),ROUND(N7/L7,2),"")</f>
        <v>7488.27</v>
      </c>
      <c r="N7" s="6">
        <v>830000</v>
      </c>
      <c r="O7" s="7">
        <v>1466520.03</v>
      </c>
      <c r="P7" s="8">
        <f>IF(AND(ISNUMBER(N7),ISNUMBER(O7),O7&gt;0),N7/O7,"")</f>
        <v>0.5659656759001103</v>
      </c>
      <c r="Q7" s="6">
        <v>0</v>
      </c>
      <c r="R7" s="6">
        <v>0</v>
      </c>
      <c r="S7" s="9" t="s">
        <v>7</v>
      </c>
      <c r="T7" s="9" t="s">
        <v>925</v>
      </c>
    </row>
    <row r="8" spans="1:20" x14ac:dyDescent="0.25">
      <c r="A8" s="2" t="s">
        <v>34</v>
      </c>
      <c r="B8" s="2" t="s">
        <v>35</v>
      </c>
      <c r="C8" s="2" t="s">
        <v>67</v>
      </c>
      <c r="D8" s="2" t="s">
        <v>926</v>
      </c>
      <c r="E8" s="2" t="s">
        <v>927</v>
      </c>
      <c r="F8" s="2" t="s">
        <v>133</v>
      </c>
      <c r="G8" s="2" t="s">
        <v>119</v>
      </c>
      <c r="H8" s="2" t="s">
        <v>78</v>
      </c>
      <c r="I8" s="3">
        <v>46269.41666666667</v>
      </c>
      <c r="J8" s="2" t="s">
        <v>909</v>
      </c>
      <c r="K8" s="2" t="s">
        <v>928</v>
      </c>
      <c r="L8" s="4">
        <v>74.85</v>
      </c>
      <c r="M8" s="5">
        <f>IF(AND(ISNUMBER(N8),ISNUMBER(L8),L8&gt;0),ROUND(N8/L8,2),"")</f>
        <v>8016.03</v>
      </c>
      <c r="N8" s="6">
        <v>600000</v>
      </c>
      <c r="O8" s="7">
        <v>750000</v>
      </c>
      <c r="P8" s="8">
        <f>IF(AND(ISNUMBER(N8),ISNUMBER(O8),O8&gt;0),N8/O8,"")</f>
        <v>0.8</v>
      </c>
      <c r="Q8" s="6">
        <v>0</v>
      </c>
      <c r="R8" s="6">
        <v>0</v>
      </c>
      <c r="S8" s="9" t="s">
        <v>7</v>
      </c>
      <c r="T8" s="9" t="s">
        <v>929</v>
      </c>
    </row>
    <row r="9" spans="1:20" x14ac:dyDescent="0.25">
      <c r="A9" s="2" t="s">
        <v>34</v>
      </c>
      <c r="B9" s="2" t="s">
        <v>35</v>
      </c>
      <c r="C9" s="2" t="s">
        <v>116</v>
      </c>
      <c r="D9" s="2" t="s">
        <v>930</v>
      </c>
      <c r="E9" s="2" t="s">
        <v>931</v>
      </c>
      <c r="F9" s="2" t="s">
        <v>39</v>
      </c>
      <c r="G9" s="2" t="s">
        <v>119</v>
      </c>
      <c r="H9" s="2" t="s">
        <v>78</v>
      </c>
      <c r="I9" s="3">
        <v>46269.41666666667</v>
      </c>
      <c r="J9" s="2" t="s">
        <v>909</v>
      </c>
      <c r="K9" s="2" t="s">
        <v>120</v>
      </c>
      <c r="L9" s="4">
        <v>219.56</v>
      </c>
      <c r="M9" s="5">
        <f>IF(AND(ISNUMBER(N9),ISNUMBER(L9),L9&gt;0),ROUND(N9/L9,2),"")</f>
        <v>2860.27</v>
      </c>
      <c r="N9" s="6">
        <v>628000</v>
      </c>
      <c r="O9" s="7">
        <v>1120498.37</v>
      </c>
      <c r="P9" s="8">
        <f>IF(AND(ISNUMBER(N9),ISNUMBER(O9),O9&gt;0),N9/O9,"")</f>
        <v>0.5604648938489754</v>
      </c>
      <c r="Q9" s="6">
        <v>0</v>
      </c>
      <c r="R9" s="6">
        <v>0</v>
      </c>
      <c r="S9" s="2" t="s">
        <v>155</v>
      </c>
      <c r="T9" s="9" t="s">
        <v>932</v>
      </c>
    </row>
    <row r="10" spans="1:20" x14ac:dyDescent="0.25">
      <c r="A10" s="2" t="s">
        <v>34</v>
      </c>
      <c r="B10" s="2" t="s">
        <v>35</v>
      </c>
      <c r="C10" s="2" t="s">
        <v>149</v>
      </c>
      <c r="D10" s="2" t="s">
        <v>933</v>
      </c>
      <c r="E10" s="2" t="s">
        <v>934</v>
      </c>
      <c r="F10" s="2" t="s">
        <v>73</v>
      </c>
      <c r="G10" s="2" t="s">
        <v>119</v>
      </c>
      <c r="H10" s="2" t="s">
        <v>78</v>
      </c>
      <c r="I10" s="3">
        <v>46269.41666666667</v>
      </c>
      <c r="J10" s="2" t="s">
        <v>909</v>
      </c>
      <c r="K10" s="2" t="s">
        <v>152</v>
      </c>
      <c r="L10" s="4">
        <v>84.75</v>
      </c>
      <c r="M10" s="5">
        <f>IF(AND(ISNUMBER(N10),ISNUMBER(L10),L10&gt;0),ROUND(N10/L10,2),"")</f>
        <v>5663.72</v>
      </c>
      <c r="N10" s="6">
        <v>480000</v>
      </c>
      <c r="O10" s="7">
        <v>852796</v>
      </c>
      <c r="P10" s="8">
        <f>IF(AND(ISNUMBER(N10),ISNUMBER(O10),O10&gt;0),N10/O10,"")</f>
        <v>0.5628544223941013</v>
      </c>
      <c r="Q10" s="6">
        <v>0</v>
      </c>
      <c r="R10" s="6">
        <v>0</v>
      </c>
      <c r="S10" s="2" t="s">
        <v>935</v>
      </c>
      <c r="T10" s="9" t="s">
        <v>936</v>
      </c>
    </row>
    <row r="11" spans="1:20" x14ac:dyDescent="0.25">
      <c r="A11" s="2" t="s">
        <v>34</v>
      </c>
      <c r="B11" s="2" t="s">
        <v>35</v>
      </c>
      <c r="C11" s="2" t="s">
        <v>45</v>
      </c>
      <c r="D11" s="2" t="s">
        <v>937</v>
      </c>
      <c r="E11" s="2" t="s">
        <v>938</v>
      </c>
      <c r="F11" s="2" t="s">
        <v>39</v>
      </c>
      <c r="G11" s="2" t="s">
        <v>119</v>
      </c>
      <c r="H11" s="2" t="s">
        <v>48</v>
      </c>
      <c r="I11" s="3">
        <v>46269.41666666667</v>
      </c>
      <c r="J11" s="2" t="s">
        <v>909</v>
      </c>
      <c r="K11" s="2" t="s">
        <v>49</v>
      </c>
      <c r="L11" s="4">
        <v>139.97</v>
      </c>
      <c r="M11" s="5">
        <f>IF(AND(ISNUMBER(N11),ISNUMBER(L11),L11&gt;0),ROUND(N11/L11,2),"")</f>
        <v>10150</v>
      </c>
      <c r="N11" s="6">
        <v>1420696</v>
      </c>
      <c r="O11" s="7">
        <v>2029565</v>
      </c>
      <c r="P11" s="8">
        <f>IF(AND(ISNUMBER(N11),ISNUMBER(O11),O11&gt;0),N11/O11,"")</f>
        <v>0.7000002463582098</v>
      </c>
      <c r="Q11" s="6">
        <v>0</v>
      </c>
      <c r="R11" s="6">
        <v>0</v>
      </c>
      <c r="S11" s="9" t="s">
        <v>7</v>
      </c>
      <c r="T11" s="9" t="s">
        <v>939</v>
      </c>
    </row>
    <row r="12" spans="1:20" x14ac:dyDescent="0.25">
      <c r="A12" s="2" t="s">
        <v>34</v>
      </c>
      <c r="B12" s="2" t="s">
        <v>35</v>
      </c>
      <c r="C12" s="2" t="s">
        <v>45</v>
      </c>
      <c r="D12" s="2" t="s">
        <v>940</v>
      </c>
      <c r="E12" s="2" t="s">
        <v>941</v>
      </c>
      <c r="F12" s="2" t="s">
        <v>39</v>
      </c>
      <c r="G12" s="2" t="s">
        <v>119</v>
      </c>
      <c r="H12" s="2" t="s">
        <v>48</v>
      </c>
      <c r="I12" s="3">
        <v>46269.41666666667</v>
      </c>
      <c r="J12" s="2" t="s">
        <v>909</v>
      </c>
      <c r="K12" s="2" t="s">
        <v>942</v>
      </c>
      <c r="L12" s="4">
        <v>200.83</v>
      </c>
      <c r="M12" s="5">
        <f>IF(AND(ISNUMBER(N12),ISNUMBER(L12),L12&gt;0),ROUND(N12/L12,2),"")</f>
        <v>11200</v>
      </c>
      <c r="N12" s="6">
        <v>2249296</v>
      </c>
      <c r="O12" s="7">
        <v>3213280</v>
      </c>
      <c r="P12" s="8">
        <f>IF(AND(ISNUMBER(N12),ISNUMBER(O12),O12&gt;0),N12/O12,"")</f>
        <v>0.7</v>
      </c>
      <c r="Q12" s="6">
        <v>0</v>
      </c>
      <c r="R12" s="6">
        <v>0</v>
      </c>
      <c r="S12" s="9" t="s">
        <v>7</v>
      </c>
      <c r="T12" s="9" t="s">
        <v>943</v>
      </c>
    </row>
    <row r="13" spans="1:20" x14ac:dyDescent="0.25">
      <c r="A13" s="2" t="s">
        <v>34</v>
      </c>
      <c r="B13" s="2" t="s">
        <v>35</v>
      </c>
      <c r="C13" s="2" t="s">
        <v>63</v>
      </c>
      <c r="D13" s="2" t="s">
        <v>944</v>
      </c>
      <c r="E13" s="2" t="s">
        <v>945</v>
      </c>
      <c r="F13" s="2" t="s">
        <v>73</v>
      </c>
      <c r="G13" s="2" t="s">
        <v>119</v>
      </c>
      <c r="H13" s="2" t="s">
        <v>48</v>
      </c>
      <c r="I13" s="3">
        <v>46269.41666666667</v>
      </c>
      <c r="J13" s="2" t="s">
        <v>909</v>
      </c>
      <c r="K13" s="2" t="s">
        <v>946</v>
      </c>
      <c r="L13" s="4">
        <v>30.3</v>
      </c>
      <c r="M13" s="5">
        <f>IF(AND(ISNUMBER(N13),ISNUMBER(L13),L13&gt;0),ROUND(N13/L13,2),"")</f>
        <v>5126.4</v>
      </c>
      <c r="N13" s="6">
        <v>155330</v>
      </c>
      <c r="O13" s="7">
        <v>221900</v>
      </c>
      <c r="P13" s="8">
        <f>IF(AND(ISNUMBER(N13),ISNUMBER(O13),O13&gt;0),N13/O13,"")</f>
        <v>0.7</v>
      </c>
      <c r="Q13" s="6">
        <v>0</v>
      </c>
      <c r="R13" s="6">
        <v>0</v>
      </c>
      <c r="S13" s="9" t="s">
        <v>7</v>
      </c>
      <c r="T13" s="9" t="s">
        <v>947</v>
      </c>
    </row>
    <row r="14" spans="1:20" x14ac:dyDescent="0.25">
      <c r="A14" s="2" t="s">
        <v>34</v>
      </c>
      <c r="B14" s="2" t="s">
        <v>35</v>
      </c>
      <c r="C14" s="2" t="s">
        <v>36</v>
      </c>
      <c r="D14" s="2" t="s">
        <v>948</v>
      </c>
      <c r="E14" s="2" t="s">
        <v>38</v>
      </c>
      <c r="F14" s="2" t="s">
        <v>39</v>
      </c>
      <c r="G14" s="2" t="s">
        <v>119</v>
      </c>
      <c r="H14" s="2" t="s">
        <v>48</v>
      </c>
      <c r="I14" s="3">
        <v>46269.41666666667</v>
      </c>
      <c r="J14" s="2" t="s">
        <v>909</v>
      </c>
      <c r="K14" s="2" t="s">
        <v>49</v>
      </c>
      <c r="L14" s="4">
        <v>118.3</v>
      </c>
      <c r="M14" s="5">
        <f>IF(AND(ISNUMBER(N14),ISNUMBER(L14),L14&gt;0),ROUND(N14/L14,2),"")</f>
        <v>8692.27</v>
      </c>
      <c r="N14" s="6">
        <v>1028295</v>
      </c>
      <c r="O14" s="7">
        <v>1468991</v>
      </c>
      <c r="P14" s="8">
        <f>IF(AND(ISNUMBER(N14),ISNUMBER(O14),O14&gt;0),N14/O14,"")</f>
        <v>0.7000008849611741</v>
      </c>
      <c r="Q14" s="6">
        <v>0</v>
      </c>
      <c r="R14" s="6">
        <v>0</v>
      </c>
      <c r="S14" s="9" t="s">
        <v>7</v>
      </c>
      <c r="T14" s="9" t="s">
        <v>949</v>
      </c>
    </row>
    <row r="15" spans="1:20" x14ac:dyDescent="0.25">
      <c r="A15" s="2" t="s">
        <v>34</v>
      </c>
      <c r="B15" s="2" t="s">
        <v>35</v>
      </c>
      <c r="C15" s="2" t="s">
        <v>75</v>
      </c>
      <c r="D15" s="2" t="s">
        <v>950</v>
      </c>
      <c r="E15" s="2" t="s">
        <v>951</v>
      </c>
      <c r="F15" s="2" t="s">
        <v>39</v>
      </c>
      <c r="G15" s="2" t="s">
        <v>119</v>
      </c>
      <c r="H15" s="2" t="s">
        <v>48</v>
      </c>
      <c r="I15" s="3">
        <v>46269.41666666667</v>
      </c>
      <c r="J15" s="2" t="s">
        <v>909</v>
      </c>
      <c r="K15" s="2" t="s">
        <v>53</v>
      </c>
      <c r="L15" s="4">
        <v>125.93</v>
      </c>
      <c r="M15" s="5">
        <f>IF(AND(ISNUMBER(N15),ISNUMBER(L15),L15&gt;0),ROUND(N15/L15,2),"")</f>
        <v>5995.39</v>
      </c>
      <c r="N15" s="6">
        <v>755000</v>
      </c>
      <c r="O15" s="7">
        <v>1074868</v>
      </c>
      <c r="P15" s="8">
        <f>IF(AND(ISNUMBER(N15),ISNUMBER(O15),O15&gt;0),N15/O15,"")</f>
        <v>0.7024118310341363</v>
      </c>
      <c r="Q15" s="6">
        <v>0</v>
      </c>
      <c r="R15" s="6">
        <v>0</v>
      </c>
      <c r="S15" s="2" t="s">
        <v>162</v>
      </c>
      <c r="T15" s="9" t="s">
        <v>952</v>
      </c>
    </row>
    <row r="16" spans="1:20" x14ac:dyDescent="0.25">
      <c r="A16" s="2" t="s">
        <v>34</v>
      </c>
      <c r="B16" s="2" t="s">
        <v>35</v>
      </c>
      <c r="C16" s="2" t="s">
        <v>45</v>
      </c>
      <c r="D16" s="2" t="s">
        <v>953</v>
      </c>
      <c r="E16" s="2" t="s">
        <v>954</v>
      </c>
      <c r="F16" s="2" t="s">
        <v>39</v>
      </c>
      <c r="G16" s="2" t="s">
        <v>119</v>
      </c>
      <c r="H16" s="2" t="s">
        <v>48</v>
      </c>
      <c r="I16" s="3">
        <v>46269.41666666667</v>
      </c>
      <c r="J16" s="2" t="s">
        <v>909</v>
      </c>
      <c r="K16" s="2" t="s">
        <v>942</v>
      </c>
      <c r="L16" s="4">
        <v>154.35</v>
      </c>
      <c r="M16" s="5">
        <f>IF(AND(ISNUMBER(N16),ISNUMBER(L16),L16&gt;0),ROUND(N16/L16,2),"")</f>
        <v>7700</v>
      </c>
      <c r="N16" s="6">
        <v>1188495</v>
      </c>
      <c r="O16" s="7">
        <v>1697850</v>
      </c>
      <c r="P16" s="8">
        <f>IF(AND(ISNUMBER(N16),ISNUMBER(O16),O16&gt;0),N16/O16,"")</f>
        <v>0.7</v>
      </c>
      <c r="Q16" s="6">
        <v>0</v>
      </c>
      <c r="R16" s="6">
        <v>0</v>
      </c>
      <c r="S16" s="9" t="s">
        <v>7</v>
      </c>
      <c r="T16" s="9" t="s">
        <v>955</v>
      </c>
    </row>
    <row r="17" spans="1:20" x14ac:dyDescent="0.25">
      <c r="A17" s="2" t="s">
        <v>34</v>
      </c>
      <c r="B17" s="2" t="s">
        <v>35</v>
      </c>
      <c r="C17" s="2" t="s">
        <v>122</v>
      </c>
      <c r="D17" s="2" t="s">
        <v>956</v>
      </c>
      <c r="E17" s="2" t="s">
        <v>957</v>
      </c>
      <c r="F17" s="2" t="s">
        <v>39</v>
      </c>
      <c r="G17" s="2" t="s">
        <v>119</v>
      </c>
      <c r="H17" s="2" t="s">
        <v>41</v>
      </c>
      <c r="I17" s="3">
        <v>46269.41666666667</v>
      </c>
      <c r="J17" s="2" t="s">
        <v>909</v>
      </c>
      <c r="K17" s="2" t="s">
        <v>125</v>
      </c>
      <c r="L17" s="4">
        <v>97.64</v>
      </c>
      <c r="M17" s="5">
        <f>IF(AND(ISNUMBER(N17),ISNUMBER(L17),L17&gt;0),ROUND(N17/L17,2),"")</f>
        <v>2060.24</v>
      </c>
      <c r="N17" s="6">
        <v>201161.96</v>
      </c>
      <c r="O17" s="7">
        <v>359217.78</v>
      </c>
      <c r="P17" s="8">
        <f>IF(AND(ISNUMBER(N17),ISNUMBER(O17),O17&gt;0),N17/O17,"")</f>
        <v>0.560000008908245</v>
      </c>
      <c r="Q17" s="6">
        <v>0</v>
      </c>
      <c r="R17" s="6">
        <v>0</v>
      </c>
      <c r="S17" s="2" t="s">
        <v>126</v>
      </c>
      <c r="T17" s="9" t="s">
        <v>958</v>
      </c>
    </row>
    <row r="18" spans="1:20" x14ac:dyDescent="0.25">
      <c r="A18" s="2" t="s">
        <v>34</v>
      </c>
      <c r="B18" s="2" t="s">
        <v>35</v>
      </c>
      <c r="C18" s="2" t="s">
        <v>75</v>
      </c>
      <c r="D18" s="2" t="s">
        <v>959</v>
      </c>
      <c r="E18" s="2" t="s">
        <v>960</v>
      </c>
      <c r="F18" s="2" t="s">
        <v>39</v>
      </c>
      <c r="G18" s="2" t="s">
        <v>119</v>
      </c>
      <c r="H18" s="2" t="s">
        <v>41</v>
      </c>
      <c r="I18" s="3">
        <v>46269.41666666667</v>
      </c>
      <c r="J18" s="2" t="s">
        <v>909</v>
      </c>
      <c r="K18" s="2" t="s">
        <v>79</v>
      </c>
      <c r="L18" s="4">
        <v>302.52</v>
      </c>
      <c r="M18" s="5">
        <f>IF(AND(ISNUMBER(N18),ISNUMBER(L18),L18&gt;0),ROUND(N18/L18,2),"")</f>
        <v>5024.46</v>
      </c>
      <c r="N18" s="6">
        <v>1520000</v>
      </c>
      <c r="O18" s="7">
        <v>1900000</v>
      </c>
      <c r="P18" s="8">
        <f>IF(AND(ISNUMBER(N18),ISNUMBER(O18),O18&gt;0),N18/O18,"")</f>
        <v>0.8</v>
      </c>
      <c r="Q18" s="6">
        <v>0</v>
      </c>
      <c r="R18" s="6">
        <v>0</v>
      </c>
      <c r="S18" s="9" t="s">
        <v>7</v>
      </c>
      <c r="T18" s="9" t="s">
        <v>961</v>
      </c>
    </row>
    <row r="19" spans="1:20" x14ac:dyDescent="0.25">
      <c r="A19" s="2" t="s">
        <v>34</v>
      </c>
      <c r="B19" s="2" t="s">
        <v>35</v>
      </c>
      <c r="C19" s="2" t="s">
        <v>36</v>
      </c>
      <c r="D19" s="2" t="s">
        <v>962</v>
      </c>
      <c r="E19" s="2" t="s">
        <v>963</v>
      </c>
      <c r="F19" s="2" t="s">
        <v>39</v>
      </c>
      <c r="G19" s="2" t="s">
        <v>119</v>
      </c>
      <c r="H19" s="2" t="s">
        <v>41</v>
      </c>
      <c r="I19" s="3">
        <v>46269.41666666667</v>
      </c>
      <c r="J19" s="2" t="s">
        <v>909</v>
      </c>
      <c r="K19" s="2" t="s">
        <v>53</v>
      </c>
      <c r="L19" s="4">
        <v>103.91</v>
      </c>
      <c r="M19" s="5">
        <f>IF(AND(ISNUMBER(N19),ISNUMBER(L19),L19&gt;0),ROUND(N19/L19,2),"")</f>
        <v>3357.6</v>
      </c>
      <c r="N19" s="6">
        <v>348888</v>
      </c>
      <c r="O19" s="7">
        <v>607144</v>
      </c>
      <c r="P19" s="8">
        <f>IF(AND(ISNUMBER(N19),ISNUMBER(O19),O19&gt;0),N19/O19,"")</f>
        <v>0.574637977152043</v>
      </c>
      <c r="Q19" s="6">
        <v>0</v>
      </c>
      <c r="R19" s="6">
        <v>0</v>
      </c>
      <c r="S19" s="2" t="s">
        <v>126</v>
      </c>
      <c r="T19" s="9" t="s">
        <v>964</v>
      </c>
    </row>
    <row r="20" spans="1:20" x14ac:dyDescent="0.25">
      <c r="A20" s="2" t="s">
        <v>34</v>
      </c>
      <c r="B20" s="2" t="s">
        <v>35</v>
      </c>
      <c r="C20" s="2" t="s">
        <v>191</v>
      </c>
      <c r="D20" s="2" t="s">
        <v>965</v>
      </c>
      <c r="E20" s="2" t="s">
        <v>966</v>
      </c>
      <c r="F20" s="2" t="s">
        <v>39</v>
      </c>
      <c r="G20" s="2" t="s">
        <v>119</v>
      </c>
      <c r="H20" s="2" t="s">
        <v>41</v>
      </c>
      <c r="I20" s="3">
        <v>46269.41666666667</v>
      </c>
      <c r="J20" s="2" t="s">
        <v>909</v>
      </c>
      <c r="K20" s="2" t="s">
        <v>860</v>
      </c>
      <c r="L20" s="4">
        <v>97.68</v>
      </c>
      <c r="M20" s="5">
        <f>IF(AND(ISNUMBER(N20),ISNUMBER(L20),L20&gt;0),ROUND(N20/L20,2),"")</f>
        <v>8666.99</v>
      </c>
      <c r="N20" s="6">
        <v>846592</v>
      </c>
      <c r="O20" s="7">
        <v>1322800</v>
      </c>
      <c r="P20" s="8">
        <f>IF(AND(ISNUMBER(N20),ISNUMBER(O20),O20&gt;0),N20/O20,"")</f>
        <v>0.64</v>
      </c>
      <c r="Q20" s="6">
        <v>0</v>
      </c>
      <c r="R20" s="6">
        <v>0</v>
      </c>
      <c r="S20" s="2" t="s">
        <v>162</v>
      </c>
      <c r="T20" s="9" t="s">
        <v>967</v>
      </c>
    </row>
    <row r="21" spans="1:20" x14ac:dyDescent="0.25">
      <c r="A21" s="2" t="s">
        <v>34</v>
      </c>
      <c r="B21" s="2" t="s">
        <v>35</v>
      </c>
      <c r="C21" s="2" t="s">
        <v>89</v>
      </c>
      <c r="D21" s="2" t="s">
        <v>968</v>
      </c>
      <c r="E21" s="2" t="s">
        <v>969</v>
      </c>
      <c r="F21" s="2" t="s">
        <v>39</v>
      </c>
      <c r="G21" s="2" t="s">
        <v>119</v>
      </c>
      <c r="H21" s="2" t="s">
        <v>78</v>
      </c>
      <c r="I21" s="3">
        <v>46268.41666666667</v>
      </c>
      <c r="J21" s="2" t="s">
        <v>909</v>
      </c>
      <c r="K21" s="2" t="s">
        <v>275</v>
      </c>
      <c r="L21" s="4">
        <v>142.38</v>
      </c>
      <c r="M21" s="5">
        <f>IF(AND(ISNUMBER(N21),ISNUMBER(L21),L21&gt;0),ROUND(N21/L21,2),"")</f>
        <v>1556.56</v>
      </c>
      <c r="N21" s="6">
        <v>221623.13</v>
      </c>
      <c r="O21" s="7">
        <v>395755.58</v>
      </c>
      <c r="P21" s="8">
        <f>IF(AND(ISNUMBER(N21),ISNUMBER(O21),O21&gt;0),N21/O21,"")</f>
        <v>0.560000013139423</v>
      </c>
      <c r="Q21" s="6">
        <v>0</v>
      </c>
      <c r="R21" s="6">
        <v>0</v>
      </c>
      <c r="S21" s="9" t="s">
        <v>7</v>
      </c>
      <c r="T21" s="9" t="s">
        <v>970</v>
      </c>
    </row>
    <row r="22" spans="1:20" x14ac:dyDescent="0.25">
      <c r="A22" s="2" t="s">
        <v>34</v>
      </c>
      <c r="B22" s="2" t="s">
        <v>35</v>
      </c>
      <c r="C22" s="2" t="s">
        <v>89</v>
      </c>
      <c r="D22" s="2" t="s">
        <v>971</v>
      </c>
      <c r="E22" s="2" t="s">
        <v>969</v>
      </c>
      <c r="F22" s="2" t="s">
        <v>39</v>
      </c>
      <c r="G22" s="2" t="s">
        <v>119</v>
      </c>
      <c r="H22" s="2" t="s">
        <v>78</v>
      </c>
      <c r="I22" s="3">
        <v>46268.41666666667</v>
      </c>
      <c r="J22" s="2" t="s">
        <v>909</v>
      </c>
      <c r="K22" s="2" t="s">
        <v>275</v>
      </c>
      <c r="L22" s="4">
        <v>83.42</v>
      </c>
      <c r="M22" s="5">
        <f>IF(AND(ISNUMBER(N22),ISNUMBER(L22),L22&gt;0),ROUND(N22/L22,2),"")</f>
        <v>1545.86</v>
      </c>
      <c r="N22" s="6">
        <v>128955.85</v>
      </c>
      <c r="O22" s="7">
        <v>230278.3</v>
      </c>
      <c r="P22" s="8">
        <f>IF(AND(ISNUMBER(N22),ISNUMBER(O22),O22&gt;0),N22/O22,"")</f>
        <v>0.5600000086851432</v>
      </c>
      <c r="Q22" s="6">
        <v>0</v>
      </c>
      <c r="R22" s="6">
        <v>0</v>
      </c>
      <c r="S22" s="9" t="s">
        <v>7</v>
      </c>
      <c r="T22" s="9" t="s">
        <v>972</v>
      </c>
    </row>
    <row r="23" spans="1:20" x14ac:dyDescent="0.25">
      <c r="A23" s="2" t="s">
        <v>34</v>
      </c>
      <c r="B23" s="2" t="s">
        <v>35</v>
      </c>
      <c r="C23" s="2" t="s">
        <v>89</v>
      </c>
      <c r="D23" s="2" t="s">
        <v>973</v>
      </c>
      <c r="E23" s="2" t="s">
        <v>969</v>
      </c>
      <c r="F23" s="2" t="s">
        <v>39</v>
      </c>
      <c r="G23" s="2" t="s">
        <v>119</v>
      </c>
      <c r="H23" s="2" t="s">
        <v>78</v>
      </c>
      <c r="I23" s="3">
        <v>46268.41666666667</v>
      </c>
      <c r="J23" s="2" t="s">
        <v>909</v>
      </c>
      <c r="K23" s="2" t="s">
        <v>275</v>
      </c>
      <c r="L23" s="4">
        <v>136.7</v>
      </c>
      <c r="M23" s="5">
        <f>IF(AND(ISNUMBER(N23),ISNUMBER(L23),L23&gt;0),ROUND(N23/L23,2),"")</f>
        <v>1550.87</v>
      </c>
      <c r="N23" s="6">
        <v>212004.22</v>
      </c>
      <c r="O23" s="7">
        <v>378578.97</v>
      </c>
      <c r="P23" s="8">
        <f>IF(AND(ISNUMBER(N23),ISNUMBER(O23),O23&gt;0),N23/O23,"")</f>
        <v>0.5599999915473383</v>
      </c>
      <c r="Q23" s="6">
        <v>0</v>
      </c>
      <c r="R23" s="6">
        <v>0</v>
      </c>
      <c r="S23" s="9" t="s">
        <v>7</v>
      </c>
      <c r="T23" s="9" t="s">
        <v>974</v>
      </c>
    </row>
    <row r="24" spans="1:20" x14ac:dyDescent="0.25">
      <c r="A24" s="2" t="s">
        <v>34</v>
      </c>
      <c r="B24" s="2" t="s">
        <v>35</v>
      </c>
      <c r="C24" s="2" t="s">
        <v>89</v>
      </c>
      <c r="D24" s="2" t="s">
        <v>975</v>
      </c>
      <c r="E24" s="2" t="s">
        <v>969</v>
      </c>
      <c r="F24" s="2" t="s">
        <v>39</v>
      </c>
      <c r="G24" s="2" t="s">
        <v>119</v>
      </c>
      <c r="H24" s="2" t="s">
        <v>78</v>
      </c>
      <c r="I24" s="3">
        <v>46268.41666666667</v>
      </c>
      <c r="J24" s="2" t="s">
        <v>909</v>
      </c>
      <c r="K24" s="2" t="s">
        <v>275</v>
      </c>
      <c r="L24" s="4">
        <v>142.38</v>
      </c>
      <c r="M24" s="5">
        <f>IF(AND(ISNUMBER(N24),ISNUMBER(L24),L24&gt;0),ROUND(N24/L24,2),"")</f>
        <v>1556.56</v>
      </c>
      <c r="N24" s="6">
        <v>221623.13</v>
      </c>
      <c r="O24" s="7">
        <v>395755.58</v>
      </c>
      <c r="P24" s="8">
        <f>IF(AND(ISNUMBER(N24),ISNUMBER(O24),O24&gt;0),N24/O24,"")</f>
        <v>0.560000013139423</v>
      </c>
      <c r="Q24" s="6">
        <v>0</v>
      </c>
      <c r="R24" s="6">
        <v>0</v>
      </c>
      <c r="S24" s="9" t="s">
        <v>7</v>
      </c>
      <c r="T24" s="9" t="s">
        <v>976</v>
      </c>
    </row>
    <row r="25" spans="1:20" x14ac:dyDescent="0.25">
      <c r="A25" s="2" t="s">
        <v>34</v>
      </c>
      <c r="B25" s="2" t="s">
        <v>35</v>
      </c>
      <c r="C25" s="2" t="s">
        <v>75</v>
      </c>
      <c r="D25" s="2" t="s">
        <v>977</v>
      </c>
      <c r="E25" s="2" t="s">
        <v>978</v>
      </c>
      <c r="F25" s="2" t="s">
        <v>39</v>
      </c>
      <c r="G25" s="2" t="s">
        <v>119</v>
      </c>
      <c r="H25" s="2" t="s">
        <v>48</v>
      </c>
      <c r="I25" s="3">
        <v>46268.41666666667</v>
      </c>
      <c r="J25" s="2" t="s">
        <v>909</v>
      </c>
      <c r="K25" s="2" t="s">
        <v>79</v>
      </c>
      <c r="L25" s="4">
        <v>134.69</v>
      </c>
      <c r="M25" s="5">
        <f>IF(AND(ISNUMBER(N25),ISNUMBER(L25),L25&gt;0),ROUND(N25/L25,2),"")</f>
        <v>3572.27</v>
      </c>
      <c r="N25" s="6">
        <v>481149</v>
      </c>
      <c r="O25" s="7">
        <v>687354.37</v>
      </c>
      <c r="P25" s="8">
        <f>IF(AND(ISNUMBER(N25),ISNUMBER(O25),O25&gt;0),N25/O25,"")</f>
        <v>0.7000013690172654</v>
      </c>
      <c r="Q25" s="6">
        <v>0</v>
      </c>
      <c r="R25" s="6">
        <v>0</v>
      </c>
      <c r="S25" s="9" t="s">
        <v>7</v>
      </c>
      <c r="T25" s="9" t="s">
        <v>979</v>
      </c>
    </row>
    <row r="26" spans="1:20" x14ac:dyDescent="0.25">
      <c r="A26" s="2" t="s">
        <v>34</v>
      </c>
      <c r="B26" s="2" t="s">
        <v>35</v>
      </c>
      <c r="C26" s="2" t="s">
        <v>980</v>
      </c>
      <c r="D26" s="2" t="s">
        <v>981</v>
      </c>
      <c r="E26" s="2" t="s">
        <v>982</v>
      </c>
      <c r="F26" s="2" t="s">
        <v>39</v>
      </c>
      <c r="G26" s="2" t="s">
        <v>119</v>
      </c>
      <c r="H26" s="2" t="s">
        <v>48</v>
      </c>
      <c r="I26" s="3">
        <v>46268.41666666667</v>
      </c>
      <c r="J26" s="2" t="s">
        <v>909</v>
      </c>
      <c r="K26" s="2" t="s">
        <v>79</v>
      </c>
      <c r="L26" s="4">
        <v>118.26</v>
      </c>
      <c r="M26" s="5">
        <f>IF(AND(ISNUMBER(N26),ISNUMBER(L26),L26&gt;0),ROUND(N26/L26,2),"")</f>
        <v>12170.52</v>
      </c>
      <c r="N26" s="6">
        <v>1439286</v>
      </c>
      <c r="O26" s="7">
        <v>1799108.74</v>
      </c>
      <c r="P26" s="8">
        <f>IF(AND(ISNUMBER(N26),ISNUMBER(O26),O26&gt;0),N26/O26,"")</f>
        <v>0.7999994486158741</v>
      </c>
      <c r="Q26" s="6">
        <v>0</v>
      </c>
      <c r="R26" s="6">
        <v>0</v>
      </c>
      <c r="S26" s="9" t="s">
        <v>7</v>
      </c>
      <c r="T26" s="9" t="s">
        <v>983</v>
      </c>
    </row>
    <row r="27" spans="1:20" x14ac:dyDescent="0.25">
      <c r="A27" s="2" t="s">
        <v>34</v>
      </c>
      <c r="B27" s="2" t="s">
        <v>35</v>
      </c>
      <c r="C27" s="2" t="s">
        <v>75</v>
      </c>
      <c r="D27" s="2" t="s">
        <v>984</v>
      </c>
      <c r="E27" s="2" t="s">
        <v>985</v>
      </c>
      <c r="F27" s="2" t="s">
        <v>39</v>
      </c>
      <c r="G27" s="2" t="s">
        <v>119</v>
      </c>
      <c r="H27" s="2" t="s">
        <v>48</v>
      </c>
      <c r="I27" s="3">
        <v>46268.41666666667</v>
      </c>
      <c r="J27" s="2" t="s">
        <v>909</v>
      </c>
      <c r="K27" s="2" t="s">
        <v>79</v>
      </c>
      <c r="L27" s="4">
        <v>131.83</v>
      </c>
      <c r="M27" s="5">
        <f>IF(AND(ISNUMBER(N27),ISNUMBER(L27),L27&gt;0),ROUND(N27/L27,2),"")</f>
        <v>4011.58</v>
      </c>
      <c r="N27" s="6">
        <v>528847</v>
      </c>
      <c r="O27" s="7">
        <v>661059.22</v>
      </c>
      <c r="P27" s="8">
        <f>IF(AND(ISNUMBER(N27),ISNUMBER(O27),O27&gt;0),N27/O27,"")</f>
        <v>0.7999994312158599</v>
      </c>
      <c r="Q27" s="6">
        <v>0</v>
      </c>
      <c r="R27" s="6">
        <v>0</v>
      </c>
      <c r="S27" s="9" t="s">
        <v>7</v>
      </c>
      <c r="T27" s="9" t="s">
        <v>986</v>
      </c>
    </row>
    <row r="28" spans="1:20" x14ac:dyDescent="0.25">
      <c r="A28" s="2" t="s">
        <v>34</v>
      </c>
      <c r="B28" s="2" t="s">
        <v>35</v>
      </c>
      <c r="C28" s="2" t="s">
        <v>67</v>
      </c>
      <c r="D28" s="2" t="s">
        <v>987</v>
      </c>
      <c r="E28" s="2" t="s">
        <v>988</v>
      </c>
      <c r="F28" s="2" t="s">
        <v>133</v>
      </c>
      <c r="G28" s="2" t="s">
        <v>119</v>
      </c>
      <c r="H28" s="2" t="s">
        <v>48</v>
      </c>
      <c r="I28" s="3">
        <v>46268.41666666667</v>
      </c>
      <c r="J28" s="2" t="s">
        <v>909</v>
      </c>
      <c r="K28" s="2" t="s">
        <v>49</v>
      </c>
      <c r="L28" s="4">
        <v>79.13</v>
      </c>
      <c r="M28" s="5">
        <f>IF(AND(ISNUMBER(N28),ISNUMBER(L28),L28&gt;0),ROUND(N28/L28,2),"")</f>
        <v>11000</v>
      </c>
      <c r="N28" s="6">
        <v>870430</v>
      </c>
      <c r="O28" s="7">
        <v>870430</v>
      </c>
      <c r="P28" s="8">
        <f>IF(AND(ISNUMBER(N28),ISNUMBER(O28),O28&gt;0),N28/O28,"")</f>
        <v>1</v>
      </c>
      <c r="Q28" s="6">
        <v>0</v>
      </c>
      <c r="R28" s="6">
        <v>0</v>
      </c>
      <c r="S28" s="9" t="s">
        <v>7</v>
      </c>
      <c r="T28" s="9" t="s">
        <v>989</v>
      </c>
    </row>
    <row r="29" spans="1:20" x14ac:dyDescent="0.25">
      <c r="A29" s="2" t="s">
        <v>34</v>
      </c>
      <c r="B29" s="2" t="s">
        <v>35</v>
      </c>
      <c r="C29" s="2" t="s">
        <v>59</v>
      </c>
      <c r="D29" s="2" t="s">
        <v>990</v>
      </c>
      <c r="E29" s="2" t="s">
        <v>991</v>
      </c>
      <c r="F29" s="2" t="s">
        <v>39</v>
      </c>
      <c r="G29" s="2" t="s">
        <v>119</v>
      </c>
      <c r="H29" s="2" t="s">
        <v>41</v>
      </c>
      <c r="I29" s="3">
        <v>46268.41666666667</v>
      </c>
      <c r="J29" s="2" t="s">
        <v>909</v>
      </c>
      <c r="K29" s="2" t="s">
        <v>43</v>
      </c>
      <c r="L29" s="4">
        <v>158.21</v>
      </c>
      <c r="M29" s="5">
        <f>IF(AND(ISNUMBER(N29),ISNUMBER(L29),L29&gt;0),ROUND(N29/L29,2),"")</f>
        <v>11876.49</v>
      </c>
      <c r="N29" s="6">
        <v>1878979</v>
      </c>
      <c r="O29" s="7">
        <v>3355317.68</v>
      </c>
      <c r="P29" s="8">
        <f>IF(AND(ISNUMBER(N29),ISNUMBER(O29),O29&gt;0),N29/O29,"")</f>
        <v>0.5600003275993825</v>
      </c>
      <c r="Q29" s="6">
        <v>0</v>
      </c>
      <c r="R29" s="6">
        <v>0</v>
      </c>
      <c r="S29" s="9" t="s">
        <v>7</v>
      </c>
      <c r="T29" s="9" t="s">
        <v>992</v>
      </c>
    </row>
    <row r="30" spans="1:20" x14ac:dyDescent="0.25">
      <c r="A30" s="2" t="s">
        <v>34</v>
      </c>
      <c r="B30" s="2" t="s">
        <v>35</v>
      </c>
      <c r="C30" s="2" t="s">
        <v>122</v>
      </c>
      <c r="D30" s="2" t="s">
        <v>174</v>
      </c>
      <c r="E30" s="2" t="s">
        <v>993</v>
      </c>
      <c r="F30" s="2" t="s">
        <v>39</v>
      </c>
      <c r="G30" s="2" t="s">
        <v>119</v>
      </c>
      <c r="H30" s="2" t="s">
        <v>41</v>
      </c>
      <c r="I30" s="3">
        <v>46268.41666666667</v>
      </c>
      <c r="J30" s="2" t="s">
        <v>909</v>
      </c>
      <c r="K30" s="2" t="s">
        <v>125</v>
      </c>
      <c r="L30" s="4">
        <v>62.36</v>
      </c>
      <c r="M30" s="5">
        <f>IF(AND(ISNUMBER(N30),ISNUMBER(L30),L30&gt;0),ROUND(N30/L30,2),"")</f>
        <v>4071.83</v>
      </c>
      <c r="N30" s="6">
        <v>253919.49</v>
      </c>
      <c r="O30" s="7">
        <v>453427.66</v>
      </c>
      <c r="P30" s="8">
        <f>IF(AND(ISNUMBER(N30),ISNUMBER(O30),O30&gt;0),N30/O30,"")</f>
        <v>0.5600000008821694</v>
      </c>
      <c r="Q30" s="6">
        <v>0</v>
      </c>
      <c r="R30" s="6">
        <v>0</v>
      </c>
      <c r="S30" s="2" t="s">
        <v>130</v>
      </c>
      <c r="T30" s="9" t="s">
        <v>994</v>
      </c>
    </row>
    <row r="31" spans="1:20" x14ac:dyDescent="0.25">
      <c r="A31" s="2" t="s">
        <v>34</v>
      </c>
      <c r="B31" s="2" t="s">
        <v>35</v>
      </c>
      <c r="C31" s="2" t="s">
        <v>116</v>
      </c>
      <c r="D31" s="2" t="s">
        <v>995</v>
      </c>
      <c r="E31" s="2" t="s">
        <v>996</v>
      </c>
      <c r="F31" s="2" t="s">
        <v>39</v>
      </c>
      <c r="G31" s="2" t="s">
        <v>119</v>
      </c>
      <c r="H31" s="2" t="s">
        <v>41</v>
      </c>
      <c r="I31" s="3">
        <v>46268.41666666667</v>
      </c>
      <c r="J31" s="2" t="s">
        <v>909</v>
      </c>
      <c r="K31" s="2" t="s">
        <v>997</v>
      </c>
      <c r="L31" s="4">
        <v>153.97</v>
      </c>
      <c r="M31" s="5">
        <f>IF(AND(ISNUMBER(N31),ISNUMBER(L31),L31&gt;0),ROUND(N31/L31,2),"")</f>
        <v>7940.51</v>
      </c>
      <c r="N31" s="6">
        <v>1222600</v>
      </c>
      <c r="O31" s="7">
        <v>2183000</v>
      </c>
      <c r="P31" s="8">
        <f>IF(AND(ISNUMBER(N31),ISNUMBER(O31),O31&gt;0),N31/O31,"")</f>
        <v>0.5600549702244617</v>
      </c>
      <c r="Q31" s="6">
        <v>0</v>
      </c>
      <c r="R31" s="6">
        <v>0</v>
      </c>
      <c r="S31" s="9" t="s">
        <v>7</v>
      </c>
      <c r="T31" s="9" t="s">
        <v>998</v>
      </c>
    </row>
    <row r="32" spans="1:20" x14ac:dyDescent="0.25">
      <c r="A32" s="2" t="s">
        <v>34</v>
      </c>
      <c r="B32" s="2" t="s">
        <v>35</v>
      </c>
      <c r="C32" s="2" t="s">
        <v>67</v>
      </c>
      <c r="D32" s="2" t="s">
        <v>999</v>
      </c>
      <c r="E32" s="2" t="s">
        <v>1000</v>
      </c>
      <c r="F32" s="2" t="s">
        <v>133</v>
      </c>
      <c r="G32" s="2" t="s">
        <v>119</v>
      </c>
      <c r="H32" s="2" t="s">
        <v>41</v>
      </c>
      <c r="I32" s="3">
        <v>46268.41666666667</v>
      </c>
      <c r="J32" s="2" t="s">
        <v>909</v>
      </c>
      <c r="K32" s="2" t="s">
        <v>43</v>
      </c>
      <c r="L32" s="4">
        <v>26.96</v>
      </c>
      <c r="M32" s="5">
        <f>IF(AND(ISNUMBER(N32),ISNUMBER(L32),L32&gt;0),ROUND(N32/L32,2),"")</f>
        <v>7320.92</v>
      </c>
      <c r="N32" s="6">
        <v>197372</v>
      </c>
      <c r="O32" s="7">
        <v>352448.63</v>
      </c>
      <c r="P32" s="8">
        <f>IF(AND(ISNUMBER(N32),ISNUMBER(O32),O32&gt;0),N32/O32,"")</f>
        <v>0.5600021767711226</v>
      </c>
      <c r="Q32" s="6">
        <v>0</v>
      </c>
      <c r="R32" s="6">
        <v>0</v>
      </c>
      <c r="S32" s="2" t="s">
        <v>155</v>
      </c>
      <c r="T32" s="9" t="s">
        <v>1001</v>
      </c>
    </row>
    <row r="33" spans="1:20" x14ac:dyDescent="0.25">
      <c r="A33" s="2" t="s">
        <v>34</v>
      </c>
      <c r="B33" s="2" t="s">
        <v>364</v>
      </c>
      <c r="C33" s="2" t="s">
        <v>585</v>
      </c>
      <c r="D33" s="2" t="s">
        <v>1002</v>
      </c>
      <c r="E33" s="2" t="s">
        <v>1003</v>
      </c>
      <c r="F33" s="2" t="s">
        <v>39</v>
      </c>
      <c r="G33" s="2" t="s">
        <v>119</v>
      </c>
      <c r="H33" s="2" t="s">
        <v>48</v>
      </c>
      <c r="I33" s="3">
        <v>46269.41666666667</v>
      </c>
      <c r="J33" s="2" t="s">
        <v>909</v>
      </c>
      <c r="K33" s="2" t="s">
        <v>661</v>
      </c>
      <c r="L33" s="4">
        <v>167.09</v>
      </c>
      <c r="M33" s="5">
        <f>IF(AND(ISNUMBER(N33),ISNUMBER(L33),L33&gt;0),ROUND(N33/L33,2),"")</f>
        <v>11012.03</v>
      </c>
      <c r="N33" s="6">
        <v>1840000</v>
      </c>
      <c r="O33" s="7">
        <v>2606000</v>
      </c>
      <c r="P33" s="8">
        <f>IF(AND(ISNUMBER(N33),ISNUMBER(O33),O33&gt;0),N33/O33,"")</f>
        <v>0.7060629316960859</v>
      </c>
      <c r="Q33" s="6">
        <v>0</v>
      </c>
      <c r="R33" s="6">
        <v>0</v>
      </c>
      <c r="S33" s="2" t="s">
        <v>271</v>
      </c>
      <c r="T33" s="9" t="s">
        <v>1004</v>
      </c>
    </row>
    <row r="34" spans="1:20" x14ac:dyDescent="0.25">
      <c r="A34" s="2" t="s">
        <v>34</v>
      </c>
      <c r="B34" s="2" t="s">
        <v>364</v>
      </c>
      <c r="C34" s="2" t="s">
        <v>365</v>
      </c>
      <c r="D34" s="2" t="s">
        <v>1005</v>
      </c>
      <c r="E34" s="2" t="s">
        <v>1006</v>
      </c>
      <c r="F34" s="2" t="s">
        <v>39</v>
      </c>
      <c r="G34" s="2" t="s">
        <v>119</v>
      </c>
      <c r="H34" s="2" t="s">
        <v>48</v>
      </c>
      <c r="I34" s="3">
        <v>46269.41666666667</v>
      </c>
      <c r="J34" s="2" t="s">
        <v>909</v>
      </c>
      <c r="K34" s="2" t="s">
        <v>368</v>
      </c>
      <c r="L34" s="4">
        <v>108.21</v>
      </c>
      <c r="M34" s="5">
        <f>IF(AND(ISNUMBER(N34),ISNUMBER(L34),L34&gt;0),ROUND(N34/L34,2),"")</f>
        <v>5156.36</v>
      </c>
      <c r="N34" s="6">
        <v>557970</v>
      </c>
      <c r="O34" s="7">
        <v>797100</v>
      </c>
      <c r="P34" s="8">
        <f>IF(AND(ISNUMBER(N34),ISNUMBER(O34),O34&gt;0),N34/O34,"")</f>
        <v>0.7</v>
      </c>
      <c r="Q34" s="6">
        <v>0</v>
      </c>
      <c r="R34" s="6">
        <v>0</v>
      </c>
      <c r="S34" s="9" t="s">
        <v>7</v>
      </c>
      <c r="T34" s="9" t="s">
        <v>1007</v>
      </c>
    </row>
    <row r="35" spans="1:20" x14ac:dyDescent="0.25">
      <c r="A35" s="2" t="s">
        <v>34</v>
      </c>
      <c r="B35" s="2" t="s">
        <v>364</v>
      </c>
      <c r="C35" s="2" t="s">
        <v>365</v>
      </c>
      <c r="D35" s="2" t="s">
        <v>1008</v>
      </c>
      <c r="E35" s="2" t="s">
        <v>1006</v>
      </c>
      <c r="F35" s="2" t="s">
        <v>39</v>
      </c>
      <c r="G35" s="2" t="s">
        <v>119</v>
      </c>
      <c r="H35" s="2" t="s">
        <v>48</v>
      </c>
      <c r="I35" s="3">
        <v>46269.41666666667</v>
      </c>
      <c r="J35" s="2" t="s">
        <v>909</v>
      </c>
      <c r="K35" s="2" t="s">
        <v>368</v>
      </c>
      <c r="L35" s="4">
        <v>108.33</v>
      </c>
      <c r="M35" s="5">
        <f>IF(AND(ISNUMBER(N35),ISNUMBER(L35),L35&gt;0),ROUND(N35/L35,2),"")</f>
        <v>5220.44</v>
      </c>
      <c r="N35" s="6">
        <v>565530</v>
      </c>
      <c r="O35" s="7">
        <v>807900</v>
      </c>
      <c r="P35" s="8">
        <f>IF(AND(ISNUMBER(N35),ISNUMBER(O35),O35&gt;0),N35/O35,"")</f>
        <v>0.7</v>
      </c>
      <c r="Q35" s="6">
        <v>0</v>
      </c>
      <c r="R35" s="6">
        <v>0</v>
      </c>
      <c r="S35" s="9" t="s">
        <v>7</v>
      </c>
      <c r="T35" s="9" t="s">
        <v>1009</v>
      </c>
    </row>
    <row r="36" spans="1:20" x14ac:dyDescent="0.25">
      <c r="A36" s="2" t="s">
        <v>34</v>
      </c>
      <c r="B36" s="2" t="s">
        <v>364</v>
      </c>
      <c r="C36" s="2" t="s">
        <v>585</v>
      </c>
      <c r="D36" s="2" t="s">
        <v>1010</v>
      </c>
      <c r="E36" s="2" t="s">
        <v>1011</v>
      </c>
      <c r="F36" s="2" t="s">
        <v>39</v>
      </c>
      <c r="G36" s="2" t="s">
        <v>119</v>
      </c>
      <c r="H36" s="2" t="s">
        <v>48</v>
      </c>
      <c r="I36" s="3">
        <v>46269.41666666667</v>
      </c>
      <c r="J36" s="2" t="s">
        <v>909</v>
      </c>
      <c r="K36" s="2" t="s">
        <v>661</v>
      </c>
      <c r="L36" s="4">
        <v>211.82</v>
      </c>
      <c r="M36" s="5">
        <f>IF(AND(ISNUMBER(N36),ISNUMBER(L36),L36&gt;0),ROUND(N36/L36,2),"")</f>
        <v>9630.82</v>
      </c>
      <c r="N36" s="6">
        <v>2040000</v>
      </c>
      <c r="O36" s="7">
        <v>2902900</v>
      </c>
      <c r="P36" s="8">
        <f>IF(AND(ISNUMBER(N36),ISNUMBER(O36),O36&gt;0),N36/O36,"")</f>
        <v>0.7027455303317373</v>
      </c>
      <c r="Q36" s="6">
        <v>0</v>
      </c>
      <c r="R36" s="6">
        <v>0</v>
      </c>
      <c r="S36" s="2" t="s">
        <v>1012</v>
      </c>
      <c r="T36" s="9" t="s">
        <v>1013</v>
      </c>
    </row>
    <row r="37" spans="1:20" x14ac:dyDescent="0.25">
      <c r="A37" s="2" t="s">
        <v>34</v>
      </c>
      <c r="B37" s="2" t="s">
        <v>364</v>
      </c>
      <c r="C37" s="2" t="s">
        <v>592</v>
      </c>
      <c r="D37" s="2" t="s">
        <v>1014</v>
      </c>
      <c r="E37" s="2" t="s">
        <v>1015</v>
      </c>
      <c r="F37" s="2" t="s">
        <v>39</v>
      </c>
      <c r="G37" s="2" t="s">
        <v>119</v>
      </c>
      <c r="H37" s="2" t="s">
        <v>48</v>
      </c>
      <c r="I37" s="3">
        <v>46269.41666666667</v>
      </c>
      <c r="J37" s="2" t="s">
        <v>909</v>
      </c>
      <c r="K37" s="2" t="s">
        <v>661</v>
      </c>
      <c r="L37" s="4">
        <v>124.5</v>
      </c>
      <c r="M37" s="5">
        <f>IF(AND(ISNUMBER(N37),ISNUMBER(L37),L37&gt;0),ROUND(N37/L37,2),"")</f>
        <v>6024.1</v>
      </c>
      <c r="N37" s="6">
        <v>750000</v>
      </c>
      <c r="O37" s="7">
        <v>1063400</v>
      </c>
      <c r="P37" s="8">
        <f>IF(AND(ISNUMBER(N37),ISNUMBER(O37),O37&gt;0),N37/O37,"")</f>
        <v>0.705284935113786</v>
      </c>
      <c r="Q37" s="6">
        <v>0</v>
      </c>
      <c r="R37" s="6">
        <v>0</v>
      </c>
      <c r="S37" s="2" t="s">
        <v>162</v>
      </c>
      <c r="T37" s="9" t="s">
        <v>1016</v>
      </c>
    </row>
    <row r="38" spans="1:20" x14ac:dyDescent="0.25">
      <c r="A38" s="2" t="s">
        <v>34</v>
      </c>
      <c r="B38" s="2" t="s">
        <v>364</v>
      </c>
      <c r="C38" s="2" t="s">
        <v>757</v>
      </c>
      <c r="D38" s="2" t="s">
        <v>1017</v>
      </c>
      <c r="E38" s="2" t="s">
        <v>1018</v>
      </c>
      <c r="F38" s="2" t="s">
        <v>39</v>
      </c>
      <c r="G38" s="2" t="s">
        <v>119</v>
      </c>
      <c r="H38" s="2" t="s">
        <v>48</v>
      </c>
      <c r="I38" s="3">
        <v>46269.41666666667</v>
      </c>
      <c r="J38" s="2" t="s">
        <v>909</v>
      </c>
      <c r="K38" s="2" t="s">
        <v>661</v>
      </c>
      <c r="L38" s="4">
        <v>77.94</v>
      </c>
      <c r="M38" s="5">
        <f>IF(AND(ISNUMBER(N38),ISNUMBER(L38),L38&gt;0),ROUND(N38/L38,2),"")</f>
        <v>4490.63</v>
      </c>
      <c r="N38" s="6">
        <v>350000</v>
      </c>
      <c r="O38" s="7">
        <v>497000</v>
      </c>
      <c r="P38" s="8">
        <f>IF(AND(ISNUMBER(N38),ISNUMBER(O38),O38&gt;0),N38/O38,"")</f>
        <v>0.704225352112676</v>
      </c>
      <c r="Q38" s="6">
        <v>0</v>
      </c>
      <c r="R38" s="6">
        <v>0</v>
      </c>
      <c r="S38" s="9" t="s">
        <v>7</v>
      </c>
      <c r="T38" s="9" t="s">
        <v>1019</v>
      </c>
    </row>
    <row r="39" spans="1:20" x14ac:dyDescent="0.25">
      <c r="A39" s="2" t="s">
        <v>34</v>
      </c>
      <c r="B39" s="2" t="s">
        <v>364</v>
      </c>
      <c r="C39" s="2" t="s">
        <v>1020</v>
      </c>
      <c r="D39" s="2" t="s">
        <v>1021</v>
      </c>
      <c r="E39" s="2" t="s">
        <v>1022</v>
      </c>
      <c r="F39" s="2" t="s">
        <v>39</v>
      </c>
      <c r="G39" s="2" t="s">
        <v>119</v>
      </c>
      <c r="H39" s="2" t="s">
        <v>78</v>
      </c>
      <c r="I39" s="3">
        <v>46268.41666666667</v>
      </c>
      <c r="J39" s="2" t="s">
        <v>909</v>
      </c>
      <c r="K39" s="2" t="s">
        <v>1023</v>
      </c>
      <c r="L39" s="4">
        <v>121.23</v>
      </c>
      <c r="M39" s="5">
        <f>IF(AND(ISNUMBER(N39),ISNUMBER(L39),L39&gt;0),ROUND(N39/L39,2),"")</f>
        <v>3464.49</v>
      </c>
      <c r="N39" s="6">
        <v>420000</v>
      </c>
      <c r="O39" s="7">
        <v>736351</v>
      </c>
      <c r="P39" s="8">
        <f>IF(AND(ISNUMBER(N39),ISNUMBER(O39),O39&gt;0),N39/O39,"")</f>
        <v>0.5703801583755573</v>
      </c>
      <c r="Q39" s="6">
        <v>0</v>
      </c>
      <c r="R39" s="6">
        <v>0</v>
      </c>
      <c r="S39" s="9" t="s">
        <v>7</v>
      </c>
      <c r="T39" s="9" t="s">
        <v>1024</v>
      </c>
    </row>
    <row r="40" spans="1:20" x14ac:dyDescent="0.25">
      <c r="A40" s="2" t="s">
        <v>34</v>
      </c>
      <c r="B40" s="2" t="s">
        <v>364</v>
      </c>
      <c r="C40" s="2" t="s">
        <v>1020</v>
      </c>
      <c r="D40" s="2" t="s">
        <v>1025</v>
      </c>
      <c r="E40" s="2" t="s">
        <v>1026</v>
      </c>
      <c r="F40" s="2" t="s">
        <v>39</v>
      </c>
      <c r="G40" s="2" t="s">
        <v>119</v>
      </c>
      <c r="H40" s="2" t="s">
        <v>78</v>
      </c>
      <c r="I40" s="3">
        <v>46268.41666666667</v>
      </c>
      <c r="J40" s="2" t="s">
        <v>909</v>
      </c>
      <c r="K40" s="2" t="s">
        <v>1023</v>
      </c>
      <c r="L40" s="4">
        <v>103.6</v>
      </c>
      <c r="M40" s="5">
        <f>IF(AND(ISNUMBER(N40),ISNUMBER(L40),L40&gt;0),ROUND(N40/L40,2),"")</f>
        <v>3957.53</v>
      </c>
      <c r="N40" s="6">
        <v>410000</v>
      </c>
      <c r="O40" s="7">
        <v>728000</v>
      </c>
      <c r="P40" s="8">
        <f>IF(AND(ISNUMBER(N40),ISNUMBER(O40),O40&gt;0),N40/O40,"")</f>
        <v>0.5631868131868132</v>
      </c>
      <c r="Q40" s="6">
        <v>0</v>
      </c>
      <c r="R40" s="6">
        <v>0</v>
      </c>
      <c r="S40" s="2" t="s">
        <v>162</v>
      </c>
      <c r="T40" s="9" t="s">
        <v>1027</v>
      </c>
    </row>
    <row r="41" spans="1:20" x14ac:dyDescent="0.25">
      <c r="A41" s="2" t="s">
        <v>34</v>
      </c>
      <c r="B41" s="2" t="s">
        <v>364</v>
      </c>
      <c r="C41" s="2" t="s">
        <v>1020</v>
      </c>
      <c r="D41" s="2" t="s">
        <v>1028</v>
      </c>
      <c r="E41" s="2" t="s">
        <v>1026</v>
      </c>
      <c r="F41" s="2" t="s">
        <v>39</v>
      </c>
      <c r="G41" s="2" t="s">
        <v>119</v>
      </c>
      <c r="H41" s="2" t="s">
        <v>78</v>
      </c>
      <c r="I41" s="3">
        <v>46268.41666666667</v>
      </c>
      <c r="J41" s="2" t="s">
        <v>909</v>
      </c>
      <c r="K41" s="2" t="s">
        <v>1023</v>
      </c>
      <c r="L41" s="4">
        <v>136.55</v>
      </c>
      <c r="M41" s="5">
        <f>IF(AND(ISNUMBER(N41),ISNUMBER(L41),L41&gt;0),ROUND(N41/L41,2),"")</f>
        <v>3588.43</v>
      </c>
      <c r="N41" s="6">
        <v>490000</v>
      </c>
      <c r="O41" s="7">
        <v>860000</v>
      </c>
      <c r="P41" s="8">
        <f>IF(AND(ISNUMBER(N41),ISNUMBER(O41),O41&gt;0),N41/O41,"")</f>
        <v>0.5697674418604651</v>
      </c>
      <c r="Q41" s="6">
        <v>0</v>
      </c>
      <c r="R41" s="6">
        <v>0</v>
      </c>
      <c r="S41" s="2" t="s">
        <v>271</v>
      </c>
      <c r="T41" s="9" t="s">
        <v>1029</v>
      </c>
    </row>
    <row r="42" spans="1:20" x14ac:dyDescent="0.25">
      <c r="A42" s="2" t="s">
        <v>34</v>
      </c>
      <c r="B42" s="2" t="s">
        <v>364</v>
      </c>
      <c r="C42" s="2" t="s">
        <v>592</v>
      </c>
      <c r="D42" s="2" t="s">
        <v>1030</v>
      </c>
      <c r="E42" s="2" t="s">
        <v>1031</v>
      </c>
      <c r="F42" s="2" t="s">
        <v>39</v>
      </c>
      <c r="G42" s="2" t="s">
        <v>119</v>
      </c>
      <c r="H42" s="2" t="s">
        <v>41</v>
      </c>
      <c r="I42" s="3">
        <v>46268.41666666667</v>
      </c>
      <c r="J42" s="2" t="s">
        <v>909</v>
      </c>
      <c r="K42" s="2" t="s">
        <v>1032</v>
      </c>
      <c r="L42" s="4">
        <v>215.14</v>
      </c>
      <c r="M42" s="5">
        <f>IF(AND(ISNUMBER(N42),ISNUMBER(L42),L42&gt;0),ROUND(N42/L42,2),"")</f>
        <v>3883.61</v>
      </c>
      <c r="N42" s="6">
        <v>835520</v>
      </c>
      <c r="O42" s="7">
        <v>1492000</v>
      </c>
      <c r="P42" s="8">
        <f>IF(AND(ISNUMBER(N42),ISNUMBER(O42),O42&gt;0),N42/O42,"")</f>
        <v>0.56</v>
      </c>
      <c r="Q42" s="6">
        <v>0</v>
      </c>
      <c r="R42" s="6">
        <v>0</v>
      </c>
      <c r="S42" s="9" t="s">
        <v>7</v>
      </c>
      <c r="T42" s="9" t="s">
        <v>1033</v>
      </c>
    </row>
  </sheetData>
  <autoFilter ref="A1:T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2026-09-04T04:01:53Z</dcterms:created>
  <dcterms:modified xsi:type="dcterms:W3CDTF">2026-09-04T04:01:53Z</dcterms:modified>
</cp:coreProperties>
</file>