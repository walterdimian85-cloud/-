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采集进度" state="visible" r:id="rId4"/>
    <sheet sheetId="2" name="即将开始" state="visible" r:id="rId5"/>
    <sheet sheetId="3" name="成交标的" state="visible" r:id="rId6"/>
    <sheet sheetId="4" name="流拍标的" state="visible" r:id="rId7"/>
  </sheets>
  <calcPr calcId="171027"/>
</workbook>
</file>

<file path=xl/sharedStrings.xml><?xml version="1.0" encoding="utf-8"?>
<sst xmlns="http://schemas.openxmlformats.org/spreadsheetml/2006/main" count="2181" uniqueCount="554">
  <si>
    <t>进度项目</t>
  </si>
  <si>
    <t>当前状态</t>
  </si>
  <si>
    <t>运行状态</t>
  </si>
  <si>
    <t>采集中</t>
  </si>
  <si>
    <t>已保存记录</t>
  </si>
  <si>
    <t>失败记录</t>
  </si>
  <si>
    <t>当前平台</t>
  </si>
  <si>
    <t>京东拍卖</t>
  </si>
  <si>
    <t>当前分类</t>
  </si>
  <si>
    <t>商业用房</t>
  </si>
  <si>
    <t>即将开始</t>
  </si>
  <si>
    <t>当前标的</t>
  </si>
  <si>
    <t>列表扫描完成</t>
  </si>
  <si>
    <t>当前链接</t>
  </si>
  <si>
    <t>https://paimai.jd.com/311185647</t>
  </si>
  <si>
    <t>最近保存</t>
  </si>
  <si>
    <t>2026-08-31T02:36:44.730Z</t>
  </si>
  <si>
    <t>恢复说明</t>
  </si>
  <si>
    <t>使用与本次相同的 run 命令重新运行，程序会自动续爬</t>
  </si>
  <si>
    <t>所在省份</t>
  </si>
  <si>
    <t>城市</t>
  </si>
  <si>
    <t>区域</t>
  </si>
  <si>
    <t>标的名称</t>
  </si>
  <si>
    <t>小区名称（仅供参考）</t>
  </si>
  <si>
    <t>标的类型</t>
  </si>
  <si>
    <t>平台</t>
  </si>
  <si>
    <t>发拍次数</t>
  </si>
  <si>
    <t>拍卖时间</t>
  </si>
  <si>
    <t>是否成交</t>
  </si>
  <si>
    <t>处置法院</t>
  </si>
  <si>
    <t>面积/㎡</t>
  </si>
  <si>
    <t>起拍单价-元/㎡</t>
  </si>
  <si>
    <t>起拍价格</t>
  </si>
  <si>
    <t>评估价(万元)</t>
  </si>
  <si>
    <t>折扣率(%)</t>
  </si>
  <si>
    <t>备注</t>
  </si>
  <si>
    <t>网站链接</t>
  </si>
  <si>
    <t>福建省</t>
  </si>
  <si>
    <t>福州市</t>
  </si>
  <si>
    <t>晋安区</t>
  </si>
  <si>
    <t>王庄街道讲堂路18号（福马路南侧与晋安南路东侧交叉处）福晟·钱隆大第6#楼101单元</t>
  </si>
  <si>
    <t>福晟·钱隆大第</t>
  </si>
  <si>
    <t>住宅</t>
  </si>
  <si>
    <t>二拍</t>
  </si>
  <si>
    <t>福州市鼓楼区人民法院</t>
  </si>
  <si>
    <t/>
  </si>
  <si>
    <t>https://paimai.jd.com/311185640</t>
  </si>
  <si>
    <t>仓山区</t>
  </si>
  <si>
    <t>城门镇前锦村大沙53号前锦新城（二区）（东部新城9号社会保障房）12#楼105单元</t>
  </si>
  <si>
    <t>前锦新城</t>
  </si>
  <si>
    <t>https://paimai.jd.com/311185531</t>
  </si>
  <si>
    <t>平潭县</t>
  </si>
  <si>
    <t>北厝镇如意路66号三盛国际海岸（一期）B区6#1911室</t>
  </si>
  <si>
    <t>商住小区</t>
  </si>
  <si>
    <t>一拍</t>
  </si>
  <si>
    <t>平潭县人民法院</t>
  </si>
  <si>
    <t>https://paimai.jd.com/311181572</t>
  </si>
  <si>
    <t>金井镇诚意路3号金海湾1#楼301室</t>
  </si>
  <si>
    <t>金海湾</t>
  </si>
  <si>
    <t>https://paimai.jd.com/311180985</t>
  </si>
  <si>
    <t>连江县</t>
  </si>
  <si>
    <t>潘渡乡沿江大道1号贵安新天地贵阁苑5幢201单元</t>
  </si>
  <si>
    <t>贵安新天地贵阁苑</t>
  </si>
  <si>
    <t>https://paimai.jd.com/311180171</t>
  </si>
  <si>
    <t>中楼乡大中村大中1号潭中佳苑五组团9幢3101室</t>
  </si>
  <si>
    <t>潭中佳苑</t>
  </si>
  <si>
    <t>武汉市江夏区人民法院</t>
  </si>
  <si>
    <t>https://paimai.jd.com/311178866</t>
  </si>
  <si>
    <t>金山街道亭头路253号福州仓山万达广场B区B12#楼701单元</t>
  </si>
  <si>
    <t>福州仓山万达广场B区</t>
  </si>
  <si>
    <t>https://paimai.jd.com/311177691</t>
  </si>
  <si>
    <t>闽侯县</t>
  </si>
  <si>
    <t>甘蔗街道十字街39号闽侯县旧城改造安置房（现:瀛洲花园小区）A6#楼1001单元</t>
  </si>
  <si>
    <t>闽侯县旧城</t>
  </si>
  <si>
    <t>https://paimai.jd.com/311177567</t>
  </si>
  <si>
    <t>鼓楼区</t>
  </si>
  <si>
    <t>华大街道湖前路13号民都商住楼212单身公寓</t>
  </si>
  <si>
    <t>民都商住楼</t>
  </si>
  <si>
    <t>https://paimai.jd.com/311175718</t>
  </si>
  <si>
    <t>华大街道湖前路13号民都商住楼418单身公寓</t>
  </si>
  <si>
    <t>https://paimai.jd.com/311175669</t>
  </si>
  <si>
    <t>仓山镇万里解困小区4#楼1层15附属间、706单元</t>
  </si>
  <si>
    <t>万里</t>
  </si>
  <si>
    <t>https://paimai.jd.com/311175667</t>
  </si>
  <si>
    <t>潘渡乡沿江大道1号贵安新天地贵泉苑25幢3204单元</t>
  </si>
  <si>
    <t>贵安新天地贵泉苑</t>
  </si>
  <si>
    <t>福州市仓山区人民法院</t>
  </si>
  <si>
    <t>https://paimai.jd.com/311174971</t>
  </si>
  <si>
    <t>中楼乡大中村大中1号潭中佳苑五组团24#楼2702室</t>
  </si>
  <si>
    <t>https://paimai.jd.com/311174910</t>
  </si>
  <si>
    <t>金山街道金桔路336号中天金海岸2-1#地48#楼2903单元</t>
  </si>
  <si>
    <t>中天金海岸</t>
  </si>
  <si>
    <t>https://paimai.jd.com/311173861</t>
  </si>
  <si>
    <t>新店镇福飞北路189号福晟·钱隆御景（二期）9#楼106单元</t>
  </si>
  <si>
    <t>福晟·钱隆御景</t>
  </si>
  <si>
    <t>变卖</t>
  </si>
  <si>
    <t>https://paimai.jd.com/311173753</t>
  </si>
  <si>
    <t>台江区</t>
  </si>
  <si>
    <t>新港街道水运里1号光明花园3#楼1层46附属间及401单元</t>
  </si>
  <si>
    <t>光明花园</t>
  </si>
  <si>
    <t>福州市台江区人民法院</t>
  </si>
  <si>
    <t>主住宅：118.51㎡；附属间：6.92㎡。</t>
  </si>
  <si>
    <t>https://paimai.jd.com/311170388</t>
  </si>
  <si>
    <t>泉州市</t>
  </si>
  <si>
    <t>鲤城区</t>
  </si>
  <si>
    <t>金山新村南区3幢306室</t>
  </si>
  <si>
    <t>金山新村</t>
  </si>
  <si>
    <t>泉州市丰泽区人民法院</t>
  </si>
  <si>
    <t>https://paimai.jd.com/311181801</t>
  </si>
  <si>
    <t>丰泽区</t>
  </si>
  <si>
    <t>津坂路217号劳教所宿舍2幢201室</t>
  </si>
  <si>
    <t>劳教所宿舍</t>
  </si>
  <si>
    <t>https://paimai.jd.com/311181781</t>
  </si>
  <si>
    <t>晋江市</t>
  </si>
  <si>
    <t>经济技术开发区清濛园区7-1号地块内福龙商厦商住楼A幢之A2#621室</t>
  </si>
  <si>
    <t>福龙商厦</t>
  </si>
  <si>
    <t>https://paimai.jd.com/311181615</t>
  </si>
  <si>
    <t>洛江区</t>
  </si>
  <si>
    <t>址于泉州市洛江区双阳街道阳光北路和经五路交叉东北侧大唐世家2号楼2001室</t>
  </si>
  <si>
    <t>大唐世家</t>
  </si>
  <si>
    <t>泉州市洛江区人民法院</t>
  </si>
  <si>
    <t>https://paimai.jd.com/311180125</t>
  </si>
  <si>
    <t>南安市</t>
  </si>
  <si>
    <t>诗山镇山二村富贵世家商住小区11号楼6层602室的房产</t>
  </si>
  <si>
    <t>富贵世家商住小区</t>
  </si>
  <si>
    <t>南安市人民法院</t>
  </si>
  <si>
    <t>https://paimai.jd.com/311177664</t>
  </si>
  <si>
    <t>泉港区</t>
  </si>
  <si>
    <t>驿峰中路北侧华泉·盛世豪庭6#楼1308房产</t>
  </si>
  <si>
    <t>盛世豪庭</t>
  </si>
  <si>
    <t>泉州市泉港区人民法院</t>
  </si>
  <si>
    <t>https://paimai.jd.com/311175730</t>
  </si>
  <si>
    <t>惠安县</t>
  </si>
  <si>
    <t>台商投资区张坂镇泉州世茂蓝色海湾S2013-22号地块（二期）11号楼1101房产</t>
  </si>
  <si>
    <t>世茂蓝色海湾</t>
  </si>
  <si>
    <t>https://paimai.jd.com/311175709</t>
  </si>
  <si>
    <t>螺阳镇阳川路2号3幢1梯1507房产</t>
  </si>
  <si>
    <t>奥林阳光</t>
  </si>
  <si>
    <t>https://paimai.jd.com/311175681</t>
  </si>
  <si>
    <t>驿峰中路南侧华兴商城1#楼307复式房产</t>
  </si>
  <si>
    <t>华兴商城</t>
  </si>
  <si>
    <t>https://paimai.jd.com/311175682</t>
  </si>
  <si>
    <t>川沙路与南北三路西北侧华盛时代新城（二期）5#、6#楼6#1901房产</t>
  </si>
  <si>
    <t>华盛时代新城</t>
  </si>
  <si>
    <t>https://paimai.jd.com/311175455</t>
  </si>
  <si>
    <t>前黄镇通站路西侧晶鑫华庭1#楼302房产</t>
  </si>
  <si>
    <t>晶鑫华庭</t>
  </si>
  <si>
    <t>https://paimai.jd.com/311175400</t>
  </si>
  <si>
    <t>泉港一中北侧逸涛学府新城13#楼1101房产</t>
  </si>
  <si>
    <t>逸涛学府新城</t>
  </si>
  <si>
    <t>https://paimai.jd.com/311175358</t>
  </si>
  <si>
    <t>宝荣华庭01#1805住宅</t>
  </si>
  <si>
    <t>宝荣华庭</t>
  </si>
  <si>
    <t>https://paimai.jd.com/311173982</t>
  </si>
  <si>
    <t>内坑镇东西大道东侧、站前大道南侧、站南连接线北侧新龙城B地块2幢203住宅</t>
  </si>
  <si>
    <t>新龙城</t>
  </si>
  <si>
    <t>晋江市人民法院</t>
  </si>
  <si>
    <t>https://paimai.jd.com/311173977</t>
  </si>
  <si>
    <t>北峰片区江滨路东侧，307省道西南侧，潘山东侧泉州万科城二期11号楼1302室房产</t>
  </si>
  <si>
    <t>泉州万科城</t>
  </si>
  <si>
    <t>https://paimai.jd.com/311173965</t>
  </si>
  <si>
    <t>宝荣华庭04#2303住宅</t>
  </si>
  <si>
    <t>https://paimai.jd.com/311173931</t>
  </si>
  <si>
    <t>宝荣华庭02#205住宅</t>
  </si>
  <si>
    <t>https://paimai.jd.com/311173894</t>
  </si>
  <si>
    <t>宝荣华庭04#2203住宅</t>
  </si>
  <si>
    <t>https://paimai.jd.com/311173886</t>
  </si>
  <si>
    <t>宝荣华庭04#1703住宅</t>
  </si>
  <si>
    <t>https://paimai.jd.com/311173887</t>
  </si>
  <si>
    <t>崇德华庭02#401住宅</t>
  </si>
  <si>
    <t>崇德华庭</t>
  </si>
  <si>
    <t>https://paimai.jd.com/311173881</t>
  </si>
  <si>
    <t>御殿花园04#404住宅</t>
  </si>
  <si>
    <t>御殿花园</t>
  </si>
  <si>
    <t>https://paimai.jd.com/311173868</t>
  </si>
  <si>
    <t>宝荣华庭01#301住宅</t>
  </si>
  <si>
    <t>https://paimai.jd.com/311173860</t>
  </si>
  <si>
    <t>宝荣华庭04#2003住宅</t>
  </si>
  <si>
    <t>https://paimai.jd.com/311173852</t>
  </si>
  <si>
    <t>御殿花园04#303住宅</t>
  </si>
  <si>
    <t>https://paimai.jd.com/311173833</t>
  </si>
  <si>
    <t>浮桥街道田中社区江滨南路南侧珑璟湾一期工程7号楼3101的房产及室内物品</t>
  </si>
  <si>
    <t>珑璟湾</t>
  </si>
  <si>
    <t>https://paimai.jd.com/311173808</t>
  </si>
  <si>
    <t>泉秀路中段南侧五洲绿缘（时代华庭）C幢（康乐居）502房产</t>
  </si>
  <si>
    <t>五洲绿缘（时代华庭）</t>
  </si>
  <si>
    <t>https://paimai.jd.com/311173757</t>
  </si>
  <si>
    <t>宝荣华庭01#201住宅</t>
  </si>
  <si>
    <t>https://paimai.jd.com/311173743</t>
  </si>
  <si>
    <t>御殿花园04#302住宅</t>
  </si>
  <si>
    <t>https://paimai.jd.com/311173735</t>
  </si>
  <si>
    <t>宝新华庭05#501住宅</t>
  </si>
  <si>
    <t>宝新华庭</t>
  </si>
  <si>
    <t>https://paimai.jd.com/311173728</t>
  </si>
  <si>
    <t>宝荣华庭01#1806住宅</t>
  </si>
  <si>
    <t>https://paimai.jd.com/311173704</t>
  </si>
  <si>
    <t>宝荣华庭04#2103住宅</t>
  </si>
  <si>
    <t>https://paimai.jd.com/311173678</t>
  </si>
  <si>
    <t>成交金额</t>
  </si>
  <si>
    <t>溢价率</t>
  </si>
  <si>
    <t>成交单价</t>
  </si>
  <si>
    <t>竞买记录</t>
  </si>
  <si>
    <t>报名人数</t>
  </si>
  <si>
    <t>茶亭街道儿童公园路99号世茂茶亭俪园2#楼204单元房地产</t>
  </si>
  <si>
    <t>儿童公园</t>
  </si>
  <si>
    <t>是</t>
  </si>
  <si>
    <t>东莞市第一人民法院</t>
  </si>
  <si>
    <t>https://paimai.jd.com/108091403</t>
  </si>
  <si>
    <t>建新镇金山大道518号江南名城5号楼607复式单元</t>
  </si>
  <si>
    <t>江南名城</t>
  </si>
  <si>
    <t>郑州市上街区人民法院</t>
  </si>
  <si>
    <t>https://paimai.jd.com/110360883</t>
  </si>
  <si>
    <t>凤城镇文汇路3号凤翔名仕3号楼603室房地产</t>
  </si>
  <si>
    <t>宁德市蕉城区人民法院</t>
  </si>
  <si>
    <t>https://paimai.jd.com/110599649</t>
  </si>
  <si>
    <t>上海街道茶中路20号2001单元</t>
  </si>
  <si>
    <t>https://paimai.jd.com/112098649</t>
  </si>
  <si>
    <t>福清市</t>
  </si>
  <si>
    <t>龙田镇龙辉街龙粮商住楼401号住宅一套</t>
  </si>
  <si>
    <t>献县人民法院</t>
  </si>
  <si>
    <t>https://paimai.jd.com/113185399</t>
  </si>
  <si>
    <t>义洲街道江滨大道180号碧水芳洲连接体地下一层48-50店面</t>
  </si>
  <si>
    <t>https://paimai.jd.com/114066349</t>
  </si>
  <si>
    <t>https://paimai.jd.com/115217386</t>
  </si>
  <si>
    <t>下渡街道下藤路156号下藤旧屋区改造工程福华苑3#楼508单元房产</t>
  </si>
  <si>
    <t>下藤旧屋区改造工程福华苑</t>
  </si>
  <si>
    <t>惠安县人民法院</t>
  </si>
  <si>
    <t>https://paimai.jd.com/275942545</t>
  </si>
  <si>
    <t>玉屏街道清荣大道北侧翰林天下8号楼201单元</t>
  </si>
  <si>
    <t>珠海市香洲区人民法院</t>
  </si>
  <si>
    <t>https://paimai.jd.com/278520605</t>
  </si>
  <si>
    <t>岳峰镇连江北路东侧香槟花园一期工程35#楼3003单元住宅房地产</t>
  </si>
  <si>
    <t>香槟花园</t>
  </si>
  <si>
    <t>福建省莆田市中级人民法院</t>
  </si>
  <si>
    <t>https://paimai.jd.com/278817695</t>
  </si>
  <si>
    <t>宏路街道融侨开发区内金辉尊域6号楼401单元房产</t>
  </si>
  <si>
    <t>北京市第三中级人民法院</t>
  </si>
  <si>
    <t>https://paimai.jd.com/280044226</t>
  </si>
  <si>
    <t>宁化街道西环南路39号正荣·润城1#楼2802单元</t>
  </si>
  <si>
    <t>正荣·润城</t>
  </si>
  <si>
    <t>https://paimai.jd.com/283863234</t>
  </si>
  <si>
    <t>宁化街道西环南路39号正荣·润城4#楼2301单元房屋</t>
  </si>
  <si>
    <t>长沙市岳麓区人民法院</t>
  </si>
  <si>
    <t>https://paimai.jd.com/289914984</t>
  </si>
  <si>
    <t>鼓山镇前屿东路13号前屿小区5#楼607复式单元</t>
  </si>
  <si>
    <t>前屿小区</t>
  </si>
  <si>
    <t>深圳前海合作区人民法院</t>
  </si>
  <si>
    <t>https://paimai.jd.com/290967916</t>
  </si>
  <si>
    <t>温泉公园路138号温泉住宅小区6座2梯505单元房产。</t>
  </si>
  <si>
    <t>温泉公园</t>
  </si>
  <si>
    <t>厦门市湖里区人民法院</t>
  </si>
  <si>
    <t>https://paimai.jd.com/291704825</t>
  </si>
  <si>
    <t>五凤街道天泉路168号金辉珑岳花园一区C-5#楼1205单元</t>
  </si>
  <si>
    <t>金辉珑岳花园</t>
  </si>
  <si>
    <t>https://paimai.jd.com/311017898</t>
  </si>
  <si>
    <t>潭城镇红山居委会荷花庄</t>
  </si>
  <si>
    <t>https://paimai.jd.com/311030766</t>
  </si>
  <si>
    <t>盖山镇濂水路9号闽江世纪城-53地块B区B-21#楼704单元</t>
  </si>
  <si>
    <t>闽江世纪城</t>
  </si>
  <si>
    <t>https://paimai.jd.com/311013240</t>
  </si>
  <si>
    <t>永泰县</t>
  </si>
  <si>
    <t>葛岭镇赤壁村62号万科大樟溪岸二期B区29号楼119复式单元</t>
  </si>
  <si>
    <t>福州市晋安区人民法院</t>
  </si>
  <si>
    <t>https://paimai.jd.com/310816859</t>
  </si>
  <si>
    <t>新店镇桂山路100号正荣璟园（正荣府）A8#楼3007复式单元</t>
  </si>
  <si>
    <t>正荣璟园</t>
  </si>
  <si>
    <t>https://paimai.jd.com/311006281</t>
  </si>
  <si>
    <t>竹屿湖中路12号正荣·悦湖湾（二期）7幢605室</t>
  </si>
  <si>
    <t>正荣·悦湖湾</t>
  </si>
  <si>
    <t>https://paimai.jd.com/311002768</t>
  </si>
  <si>
    <t>甘蔗街道昙石山中大道118号新城丽景A区6#楼208单元</t>
  </si>
  <si>
    <t>新城</t>
  </si>
  <si>
    <t>https://paimai.jd.com/311006085</t>
  </si>
  <si>
    <t>鼓山镇秀坂路169号世茂璀璨天成小区（南院）（世茂连潘天城项目南地块）2#楼2306复式单元</t>
  </si>
  <si>
    <t>世茂璀璨天成</t>
  </si>
  <si>
    <t>https://paimai.jd.com/310991967</t>
  </si>
  <si>
    <t>洪山镇西江滨大道66号融侨锦江C区4#楼507单元</t>
  </si>
  <si>
    <t>融侨锦江</t>
  </si>
  <si>
    <t>https://paimai.jd.com/310992004</t>
  </si>
  <si>
    <t>新店镇南平东路58号浮村新城（二区）（一期）6#楼904单元</t>
  </si>
  <si>
    <t>浮村新城</t>
  </si>
  <si>
    <t>https://paimai.jd.com/311008810</t>
  </si>
  <si>
    <t>南屿镇乌龙江南大道58-1号南屿滨江城二期（现：阳光城翡丽湾小区）102#楼2701单元</t>
  </si>
  <si>
    <t>南屿滨江城</t>
  </si>
  <si>
    <t>https://paimai.jd.com/311090816</t>
  </si>
  <si>
    <t>新店镇秀峰路219号冠茂芳洲苑3#楼503单元</t>
  </si>
  <si>
    <t>冠茂芳洲苑</t>
  </si>
  <si>
    <t>https://paimai.jd.com/311090288</t>
  </si>
  <si>
    <t>鼓西街道达明新村二里8#楼704单元、8#楼1层14附属间</t>
  </si>
  <si>
    <t>达明新村</t>
  </si>
  <si>
    <t>https://paimai.jd.com/311090927</t>
  </si>
  <si>
    <t>万虹路29号南益清源春晓小区7幢1402室的房产</t>
  </si>
  <si>
    <t>南益清源春晓</t>
  </si>
  <si>
    <t>https://paimai.jd.com/311098623</t>
  </si>
  <si>
    <t>美林办事处南美南金路万星城市广场11号楼23层2302室的房产</t>
  </si>
  <si>
    <t>万星城市广场</t>
  </si>
  <si>
    <t>https://paimai.jd.com/311094548</t>
  </si>
  <si>
    <t>水头镇联合一路1号海峡1号10号楼13层1305室的房产</t>
  </si>
  <si>
    <t>海峡1号</t>
  </si>
  <si>
    <t>https://paimai.jd.com/311018072</t>
  </si>
  <si>
    <t>港湾街988号天玺湾一期1幢2805室的房产</t>
  </si>
  <si>
    <t>天玺湾</t>
  </si>
  <si>
    <t>https://paimai.jd.com/311015364</t>
  </si>
  <si>
    <t>石狮市</t>
  </si>
  <si>
    <t>石龙路288号世茂摩天城一期A15幢01室、02室不动产</t>
  </si>
  <si>
    <t>世茂摩天城</t>
  </si>
  <si>
    <t>江苏省南京市中级人民法院</t>
  </si>
  <si>
    <t>未找到</t>
  </si>
  <si>
    <t>72.55/874.62共947.17㎡，人工需复核</t>
  </si>
  <si>
    <t>https://paimai.jd.com/311017807</t>
  </si>
  <si>
    <t>石龙路288号世茂摩天城一期A13幢01室、02室不动产</t>
  </si>
  <si>
    <t>https://paimai.jd.com/311017893</t>
  </si>
  <si>
    <t>石龙路288号世茂摩天城I-A-52幢01单元、02单元不动产</t>
  </si>
  <si>
    <t>71.56/961.94共1033.5㎡，人工需复核</t>
  </si>
  <si>
    <t>https://paimai.jd.com/311017846</t>
  </si>
  <si>
    <t>石龙路288号世茂摩天城一期A16幢01室、02室不动产</t>
  </si>
  <si>
    <t>72.55/877.06共949.61㎡，人工需复核</t>
  </si>
  <si>
    <t>https://paimai.jd.com/311017842</t>
  </si>
  <si>
    <t>石龙路288号世茂摩天城I-A-25幢01单元、02单元不动产</t>
  </si>
  <si>
    <t>71.56/874.64共946.2㎡，人工需复核</t>
  </si>
  <si>
    <t>https://paimai.jd.com/311017756</t>
  </si>
  <si>
    <t>经济技术开发区金盾商住花苑14号楼406</t>
  </si>
  <si>
    <t>经济技术开发区金盾商住花苑</t>
  </si>
  <si>
    <t>福建省泉州市中级人民法院</t>
  </si>
  <si>
    <t>https://paimai.jd.com/311087346</t>
  </si>
  <si>
    <t>石龙路288号世茂摩天城一期B75幢05室不动产</t>
  </si>
  <si>
    <t>https://paimai.jd.com/311017878</t>
  </si>
  <si>
    <t>石龙路288号世茂摩天城一期B75幢02室不动产</t>
  </si>
  <si>
    <t>https://paimai.jd.com/311017794</t>
  </si>
  <si>
    <t>石龙路288号世茂摩天城一期B75幢06室</t>
  </si>
  <si>
    <t>https://paimai.jd.com/311017863</t>
  </si>
  <si>
    <t>石龙路288号世茂摩天城I-A-39幢01单元、02单元不动产</t>
  </si>
  <si>
    <t>https://paimai.jd.com/311017746</t>
  </si>
  <si>
    <t>水头镇林炳片区C地块改造工程（怡景园）3号楼11层1112室的房产及室内物品</t>
  </si>
  <si>
    <t>怡景园</t>
  </si>
  <si>
    <t>https://paimai.jd.com/311082404</t>
  </si>
  <si>
    <t>石龙路288号世茂摩天城一期B75幢03室不动产</t>
  </si>
  <si>
    <t>https://paimai.jd.com/311017833</t>
  </si>
  <si>
    <t>石龙路288号世茂摩天城一期A20幢01室、02室不动产</t>
  </si>
  <si>
    <t>72.55/908.07共980.62㎡，人工需复核</t>
  </si>
  <si>
    <t>https://paimai.jd.com/311017783</t>
  </si>
  <si>
    <t>茶亭街道群众路190号帝登花园3#楼703单元住宅用房</t>
  </si>
  <si>
    <t>帝登花园</t>
  </si>
  <si>
    <t>否</t>
  </si>
  <si>
    <t>四川省成都市中级人民法院</t>
  </si>
  <si>
    <t>https://paimai.jd.com/104633200</t>
  </si>
  <si>
    <t>https://paimai.jd.com/107624802</t>
  </si>
  <si>
    <t>新店镇南平东路151号建发北湖苑（二区）地下室地下1层122车位</t>
  </si>
  <si>
    <t>建发北湖苑</t>
  </si>
  <si>
    <t>车位</t>
  </si>
  <si>
    <t>https://paimai.jd.com/108789958</t>
  </si>
  <si>
    <t>https://paimai.jd.com/109307708</t>
  </si>
  <si>
    <t>https://paimai.jd.com/109538849</t>
  </si>
  <si>
    <t>https://paimai.jd.com/110065832</t>
  </si>
  <si>
    <t>青芝大道2号青芝凤凰城1#楼10层10A单元</t>
  </si>
  <si>
    <t>凤凰城</t>
  </si>
  <si>
    <t>连江县人民法院</t>
  </si>
  <si>
    <t>https://paimai.jd.com/111564136</t>
  </si>
  <si>
    <t>https://paimai.jd.com/112239186</t>
  </si>
  <si>
    <t>王庄街道福马路168号名城花园18号楼103室房地产</t>
  </si>
  <si>
    <t>名城</t>
  </si>
  <si>
    <t>襄阳市樊城区人民法院</t>
  </si>
  <si>
    <t>https://paimai.jd.com/112418762</t>
  </si>
  <si>
    <t>https://paimai.jd.com/113101289</t>
  </si>
  <si>
    <t>https://paimai.jd.com/113464388</t>
  </si>
  <si>
    <t>甘蔗街道滨江西大道1号启航滨江国际地下1层79车位</t>
  </si>
  <si>
    <t>闽侯县人民法院</t>
  </si>
  <si>
    <t>需打开网页评估报告提取面积</t>
  </si>
  <si>
    <t>https://paimai.jd.com/114443301</t>
  </si>
  <si>
    <t>https://paimai.jd.com/113873134</t>
  </si>
  <si>
    <t>宁化街道西环南路39号正荣•润城1#楼2802单元</t>
  </si>
  <si>
    <t>https://paimai.jd.com/114734476</t>
  </si>
  <si>
    <t>https://paimai.jd.com/115421135</t>
  </si>
  <si>
    <t>工业路523号陈家大院拆迁安置房2#楼105单元及7#附属间</t>
  </si>
  <si>
    <t>https://paimai.jd.com/115407197</t>
  </si>
  <si>
    <t>https://paimai.jd.com/115634078</t>
  </si>
  <si>
    <t>罗源县</t>
  </si>
  <si>
    <t>凤山镇南洋路1号南洋花园住宅区12#楼1705单元房产</t>
  </si>
  <si>
    <t>南洋花园</t>
  </si>
  <si>
    <t>深圳市福田区人民法院</t>
  </si>
  <si>
    <t>https://paimai.jd.com/278392357</t>
  </si>
  <si>
    <t>https://paimai.jd.com/279545108</t>
  </si>
  <si>
    <t>鼓东街道办事处五四路160号华福花园2座303单元房产</t>
  </si>
  <si>
    <t>华福花园</t>
  </si>
  <si>
    <t>济南市历下区人民法院</t>
  </si>
  <si>
    <t>https://paimai.jd.com/279167263</t>
  </si>
  <si>
    <t>https://paimai.jd.com/280289129</t>
  </si>
  <si>
    <t>螺洲镇仙洲路88号锦绣水乡花园一区A-05#楼1705房屋</t>
  </si>
  <si>
    <t>花园</t>
  </si>
  <si>
    <t>https://paimai.jd.com/289914943</t>
  </si>
  <si>
    <t>https://paimai.jd.com/290061164</t>
  </si>
  <si>
    <t>https://paimai.jd.com/290860917</t>
  </si>
  <si>
    <t>塘前乡大樟村大樟66号唐乾明月3区13幢02号整座房屋。</t>
  </si>
  <si>
    <t>https://paimai.jd.com/291722653</t>
  </si>
  <si>
    <t>上街镇新保路13号群升江山城（三期）32#楼105单元</t>
  </si>
  <si>
    <t>群升江山城</t>
  </si>
  <si>
    <t>https://paimai.jd.com/311024355</t>
  </si>
  <si>
    <t>新店镇秀峰路413号三木秀峰家园14#楼703单元</t>
  </si>
  <si>
    <t>三木秀峰家园</t>
  </si>
  <si>
    <t>https://paimai.jd.com/311024150</t>
  </si>
  <si>
    <t>马尾区</t>
  </si>
  <si>
    <t>州市马尾区马尾镇江滨东大道68-1号蓝波湾2#楼14层17、18、19、20公寓式办公</t>
  </si>
  <si>
    <t>蓝波湾</t>
  </si>
  <si>
    <t>未找到评估报告</t>
  </si>
  <si>
    <t>https://paimai.jd.com/311024047</t>
  </si>
  <si>
    <t>寿山乡岭头村258号华云山庄A21#楼110复式单元</t>
  </si>
  <si>
    <t>华云山庄</t>
  </si>
  <si>
    <t>https://paimai.jd.com/311024068</t>
  </si>
  <si>
    <t>琅岐镇香海路1号（原琅岐国际旅游度假区雁行江北岸）香海新城A区16#楼103单元</t>
  </si>
  <si>
    <t>香海新城</t>
  </si>
  <si>
    <t>https://paimai.jd.com/311024198</t>
  </si>
  <si>
    <t>岚城乡上楼村366号融信大卫城A区A6#2202室</t>
  </si>
  <si>
    <t>融信大卫城</t>
  </si>
  <si>
    <t>https://paimai.jd.com/311008399</t>
  </si>
  <si>
    <t>新店镇真珠谷路117号磐石新城（二区）（原琴亭八期）6#楼2206单元</t>
  </si>
  <si>
    <t>磐石新城</t>
  </si>
  <si>
    <t>https://paimai.jd.com/311009743</t>
  </si>
  <si>
    <t>琅岐镇芦沙路2号三盛盛欣苑（福州未来城（二期））25#楼305复式单元</t>
  </si>
  <si>
    <t>三盛盛欣苑</t>
  </si>
  <si>
    <t>https://paimai.jd.com/311006351</t>
  </si>
  <si>
    <t>鳌峰街道江滨中大道378号圣淘沙花园（现海润花园）25#楼1002单元不动产（含装修）</t>
  </si>
  <si>
    <t>圣淘沙花园</t>
  </si>
  <si>
    <t>江苏省扬州市中级人民法院</t>
  </si>
  <si>
    <t>https://paimai.jd.com/311017387</t>
  </si>
  <si>
    <t>南通镇福通路85号中海凤凰熙岸（现：中海凤凰熙岸小区）5#楼605单元</t>
  </si>
  <si>
    <t>中海凤凰熙岸小区</t>
  </si>
  <si>
    <t>https://paimai.jd.com/311009270</t>
  </si>
  <si>
    <t>上街镇工贸路189号丹宁顿小镇C区7#楼108单元</t>
  </si>
  <si>
    <t>东莞市第二人民法院</t>
  </si>
  <si>
    <t>https://paimai.jd.com/311082019</t>
  </si>
  <si>
    <t>潭城镇东门庄89号滨海新苑A幢205室</t>
  </si>
  <si>
    <t>滨海新苑</t>
  </si>
  <si>
    <t>https://paimai.jd.com/311009974</t>
  </si>
  <si>
    <t>香江路900号清华公寓601室及室内家具</t>
  </si>
  <si>
    <t>清华公寓</t>
  </si>
  <si>
    <t>https://paimai.jd.com/311037268</t>
  </si>
  <si>
    <t>柳城办事处普莲路新园商住楼1幢507室及屋内物品</t>
  </si>
  <si>
    <t>新园商住楼</t>
  </si>
  <si>
    <t>https://paimai.jd.com/311017852</t>
  </si>
  <si>
    <t>兴贤路明光花园9号楼1805</t>
  </si>
  <si>
    <t>明光花园</t>
  </si>
  <si>
    <t>https://paimai.jd.com/311036920</t>
  </si>
  <si>
    <t>仁风新村30幢104及储藏间</t>
  </si>
  <si>
    <t>仁风新村</t>
  </si>
  <si>
    <t>https://paimai.jd.com/311017891</t>
  </si>
  <si>
    <t>香江路900号清华公寓401室及室内家具家电</t>
  </si>
  <si>
    <t>https://paimai.jd.com/311037286</t>
  </si>
  <si>
    <t>田淮街70号毅达新村8幢703室、8幢C014室储藏间及室内家具家电</t>
  </si>
  <si>
    <t>毅达新村</t>
  </si>
  <si>
    <t>https://paimai.jd.com/311017902</t>
  </si>
  <si>
    <t>香江路900号清华公寓801室及室内家具家电</t>
  </si>
  <si>
    <t>https://paimai.jd.com/311037323</t>
  </si>
  <si>
    <t>香江路900号清华公寓301室及室内家具</t>
  </si>
  <si>
    <t>https://paimai.jd.com/311037289</t>
  </si>
  <si>
    <t>香江路900号清华公寓501室及室内家具家电</t>
  </si>
  <si>
    <t>https://paimai.jd.com/311037274</t>
  </si>
  <si>
    <t>螺阳镇世纪大道1692号广海新景悦府6幢103室</t>
  </si>
  <si>
    <t>广海新景悦府</t>
  </si>
  <si>
    <t>https://paimai.jd.com/311017752</t>
  </si>
  <si>
    <t>双阳街道阳光北路和经五路交叉东北侧大唐世家11号楼2501</t>
  </si>
  <si>
    <t>https://paimai.jd.com/311030472</t>
  </si>
  <si>
    <t>香江路900号清华公寓701室及室内家具家电</t>
  </si>
  <si>
    <t>https://paimai.jd.com/311037267</t>
  </si>
  <si>
    <t>址于泉州市洛江区万安中心城区万荣街与安平路交叉路口东北侧钻石·美尔奇小区2号楼1801室房产及室内物品</t>
  </si>
  <si>
    <t>址于泉州市洛江区万安中心</t>
  </si>
  <si>
    <t>https://paimai.jd.com/311105664</t>
  </si>
  <si>
    <t>香江路900号清华公寓201室</t>
  </si>
  <si>
    <t>https://paimai.jd.com/311037351</t>
  </si>
  <si>
    <t>水头镇滨海大道1号华封花园10号楼20层2001的房产</t>
  </si>
  <si>
    <t>华封花园</t>
  </si>
  <si>
    <t>https://paimai.jd.com/311100488</t>
  </si>
  <si>
    <t>东海滨城东海大街南侧东海湾•怡园2号楼B1007的房产</t>
  </si>
  <si>
    <t>东海湾</t>
  </si>
  <si>
    <t>https://paimai.jd.com/311029181</t>
  </si>
  <si>
    <t>址于泉州台商投资区百崎乡星河城（B地块）7号楼302房产</t>
  </si>
  <si>
    <t>星河城</t>
  </si>
  <si>
    <t>https://paimai.jd.com/311105702</t>
  </si>
  <si>
    <t>宏益国际城·江山丽园一期A区1号楼601室</t>
  </si>
  <si>
    <t>宏益国际城·江山丽园</t>
  </si>
  <si>
    <t>https://paimai.jd.com/311030263</t>
  </si>
  <si>
    <t>张坂镇泉州世茂蓝色海湾S2013-21号地块项目39号楼39-05</t>
  </si>
  <si>
    <t>https://paimai.jd.com/311030169</t>
  </si>
  <si>
    <t>美林街道洋美村中骏•云景山庄2号楼2层205室的房产</t>
  </si>
  <si>
    <t>中骏·云景山庄</t>
  </si>
  <si>
    <t>https://paimai.jd.com/311094105</t>
  </si>
  <si>
    <t>台商投资区张坂镇泉州保利时光印象15#1603室</t>
  </si>
  <si>
    <t>https://paimai.jd.com/310829793</t>
  </si>
  <si>
    <t>省新镇西埔村茂盛路766号源昌中央公园3号楼2701室、源昌中央公园一期地下室552号车位的不动产</t>
  </si>
  <si>
    <t>源昌中央公园</t>
  </si>
  <si>
    <t>https://paimai.jd.com/311098582</t>
  </si>
  <si>
    <t>址于泉州市洛江区万安街道后埭社区、杏宅社区荣嘉江滨公馆6号楼1806住宅</t>
  </si>
  <si>
    <t>荣嘉江滨公馆</t>
  </si>
  <si>
    <t>https://paimai.jd.com/311098851</t>
  </si>
  <si>
    <t>美仙路55路毓才花苑二期9幢605室</t>
  </si>
  <si>
    <t>毓才花苑</t>
  </si>
  <si>
    <t>https://paimai.jd.com/310829808</t>
  </si>
  <si>
    <t>梅岭街道梅岭路128号中航城·天悦15幢204室</t>
  </si>
  <si>
    <t>中航城</t>
  </si>
  <si>
    <t>https://paimai.jd.com/310829797</t>
  </si>
  <si>
    <t>址于泉州市鲤城区温陵北路333号铭湖花苑2幢2梯804室</t>
  </si>
  <si>
    <t>铭湖花苑</t>
  </si>
  <si>
    <t>https://paimai.jd.com/311098843</t>
  </si>
  <si>
    <t>梅岭街道人工湖片区晋江世茂人工湖项目K5地块A-5幢4306室</t>
  </si>
  <si>
    <t>晋江世茂人工湖项目</t>
  </si>
  <si>
    <t>https://paimai.jd.com/310829811</t>
  </si>
  <si>
    <t>兴贤路435号明光花园8幢1梯1701室</t>
  </si>
  <si>
    <t>https://paimai.jd.com/310829807</t>
  </si>
  <si>
    <t>美仙路55号毓才花苑二期10幢1103室</t>
  </si>
  <si>
    <t>https://paimai.jd.com/310829795</t>
  </si>
  <si>
    <t>址于晋江市池店镇兴霞路百捷中央公园C区3#-601室住宅</t>
  </si>
  <si>
    <t>百捷·中央公园</t>
  </si>
  <si>
    <t>https://paimai.jd.com/311098838</t>
  </si>
  <si>
    <t>台商投资区东园镇中海学府世家18号楼1001室</t>
  </si>
  <si>
    <t>镇中海学府</t>
  </si>
  <si>
    <t>https://paimai.jd.com/310829769</t>
  </si>
  <si>
    <t>柳城街道金街社区颖川路7号柳南小区C区C3幢6-7层6-702室的房产及室内物品</t>
  </si>
  <si>
    <t>柳南小区</t>
  </si>
  <si>
    <t>https://paimai.jd.com/311098008</t>
  </si>
  <si>
    <t>美仙路55路毓才花苑二期9幢305室</t>
  </si>
  <si>
    <t>https://paimai.jd.com/310829798</t>
  </si>
  <si>
    <t>城东街道庄任社区海城花苑4、5号楼4-3204的房产</t>
  </si>
  <si>
    <t>海城花苑</t>
  </si>
  <si>
    <t>https://paimai.jd.com/311018607</t>
  </si>
  <si>
    <t>梅山镇杨塘垅路90号7层702室</t>
  </si>
  <si>
    <t>杨塘垅路90号</t>
  </si>
  <si>
    <t>https://paimai.jd.com/311013788</t>
  </si>
  <si>
    <t>址于泉州市洛江区罗溪镇双柏镇36号豪景花苑2栋2梯1004室</t>
  </si>
  <si>
    <t>豪景花苑</t>
  </si>
  <si>
    <t>https://paimai.jd.com/311019085</t>
  </si>
  <si>
    <t>万虹路105绿色人家美尔奇3幢2单元911室的房产</t>
  </si>
  <si>
    <t>绿色人家美尔奇</t>
  </si>
  <si>
    <t>https://paimai.jd.com/311018708</t>
  </si>
  <si>
    <t>址于泉州市洛江区双阳街道祥光花苑四、五期5#楼1005住宅</t>
  </si>
  <si>
    <t>祥光花苑</t>
  </si>
  <si>
    <t>https://paimai.jd.com/311019108</t>
  </si>
  <si>
    <t>石龙路288号世茂摩天城一期B89幢02室不动产</t>
  </si>
  <si>
    <t>https://paimai.jd.com/311017677</t>
  </si>
  <si>
    <t>石龙路288号世茂摩天城I-A-32幢01单元、02单元不动产</t>
  </si>
  <si>
    <t>https://paimai.jd.com/311017679</t>
  </si>
  <si>
    <t>水头镇荷楼片区首期星鞍桥安置区（东星荷景园）3C号楼1层109号店、110号店、111号店、112号店、113号店、114号店的不动产</t>
  </si>
  <si>
    <t>东星荷景园</t>
  </si>
  <si>
    <t>https://paimai.jd.com/310823191</t>
  </si>
  <si>
    <t>柳城办事处外二环路柳湖花园小区1幢501</t>
  </si>
  <si>
    <t>柳湖花园小区</t>
  </si>
  <si>
    <t>https://paimai.jd.com/311089804</t>
  </si>
  <si>
    <t>美林办事处南安大道碧桂园峰景一街3座27层2701室的房产</t>
  </si>
  <si>
    <t>碧桂园峰景</t>
  </si>
  <si>
    <t>https://paimai.jd.com/311080429</t>
  </si>
  <si>
    <t>柳城街道柳东社区景观路288号龙润湾美5号楼6-7层6-703室的房产</t>
  </si>
  <si>
    <t>龙润湾美</t>
  </si>
  <si>
    <t>https://paimai.jd.com/311080448</t>
  </si>
  <si>
    <t>石龙路288号世茂摩天城一期A17幢01室、02室不动产</t>
  </si>
  <si>
    <t>72.55/905.89共978.44㎡，人工需复核</t>
  </si>
  <si>
    <t>https://paimai.jd.com/311017736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</si>
</sst>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mm-dd"/>
    <numFmt numFmtId="165" formatCode="#,##0.####"/>
  </numFmts>
  <fonts count="4" x14ac:knownFonts="1">
    <font>
      <color theme="1"/>
      <family val="2"/>
      <scheme val="minor"/>
      <sz val="11"/>
      <name val="Calibri"/>
    </font>
    <font>
      <b/>
      <color rgb="FF1F2937"/>
      <sz val="11"/>
      <name val="宋体"/>
    </font>
    <font>
      <sz val="10"/>
      <name val="宋体"/>
    </font>
    <font>
      <sz val="10"/>
      <name val="Times New Roman"/>
    </font>
  </fonts>
  <fills count="3">
    <fill>
      <patternFill patternType="none"/>
    </fill>
    <fill>
      <patternFill patternType="gray125"/>
    </fill>
    <fill>
      <patternFill patternType="solid">
        <fgColor rgb="FFE2F0D9"/>
      </patternFill>
    </fill>
  </fills>
  <borders count="3">
    <border>
      <left/>
      <right/>
      <top/>
      <bottom/>
      <diagonal/>
    </border>
    <border>
      <left/>
      <right/>
      <top/>
      <bottom style="medium">
        <color rgb="FFA9D18E"/>
      </bottom>
      <diagonal/>
    </border>
    <border>
      <left/>
      <right/>
      <top/>
      <bottom style="thin">
        <color rgb="FFD9EAD3"/>
      </bottom>
      <diagonal/>
    </border>
  </borders>
  <cellStyleXfs count="1">
    <xf numFmtId="0" fontId="0" fillId="0" borderId="0"/>
  </cellStyleXfs>
  <cellXfs count="12">
    <xf numFmtId="0" fontId="0" fillId="0" borderId="0" xfId="0"/>
    <xf numFmtId="0" fontId="1" fillId="2" borderId="1" xfId="0" applyFont="1" applyFill="1" applyBorder="1" applyAlignment="1">
      <alignment horizontal="center" vertical="center" wrapText="1"/>
    </xf>
    <xf numFmtId="0" fontId="2" fillId="0" borderId="2" xfId="0" applyFont="1" applyBorder="1" applyAlignment="1">
      <alignment vertical="center"/>
    </xf>
    <xf numFmtId="164" fontId="3" fillId="0" borderId="2" xfId="0" applyNumberFormat="1" applyFont="1" applyBorder="1" applyAlignment="1">
      <alignment vertical="center"/>
    </xf>
    <xf numFmtId="2" fontId="3" fillId="0" borderId="2" xfId="0" applyNumberFormat="1" applyFont="1" applyBorder="1" applyAlignment="1">
      <alignment vertical="center"/>
    </xf>
    <xf numFmtId="4" fontId="2" fillId="0" borderId="2" xfId="0" applyNumberFormat="1" applyFont="1" applyBorder="1" applyAlignment="1">
      <alignment vertical="center"/>
    </xf>
    <xf numFmtId="3" fontId="3" fillId="0" borderId="2" xfId="0" applyNumberFormat="1" applyFont="1" applyBorder="1" applyAlignment="1">
      <alignment vertical="center"/>
    </xf>
    <xf numFmtId="165" fontId="3" fillId="0" borderId="2" xfId="0" applyNumberFormat="1" applyFont="1" applyBorder="1" applyAlignment="1">
      <alignment vertical="center"/>
    </xf>
    <xf numFmtId="10" fontId="2" fillId="0" borderId="2" xfId="0" applyNumberFormat="1" applyFont="1" applyBorder="1" applyAlignment="1">
      <alignment vertical="center"/>
    </xf>
    <xf numFmtId="0" fontId="3" fillId="0" borderId="2" xfId="0" applyFont="1" applyBorder="1" applyAlignment="1">
      <alignment vertical="center"/>
    </xf>
    <xf numFmtId="164" fontId="2" fillId="0" borderId="2" xfId="0" applyNumberFormat="1" applyFont="1" applyBorder="1" applyAlignment="1">
      <alignment vertical="center"/>
    </xf>
    <xf numFmtId="2" fontId="2" fillId="0" borderId="2" xfId="0" applyNumberFormat="1" applyFont="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1"/>
  <sheetViews>
    <sheetView workbookViewId="0" showGridLines="0"/>
  </sheetViews>
  <sheetFormatPr defaultRowHeight="15" outlineLevelRow="0" outlineLevelCol="0" x14ac:dyDescent="55"/>
  <cols>
    <col min="1" max="1" width="18" customWidth="1"/>
    <col min="2" max="2" width="80" customWidth="1"/>
  </cols>
  <sheetData>
    <row r="1" ht="28" customHeight="1" spans="1:2" x14ac:dyDescent="0.25">
      <c r="A1" s="1" t="s">
        <v>0</v>
      </c>
      <c r="B1" s="1" t="s">
        <v>1</v>
      </c>
    </row>
    <row r="2" spans="1:2" x14ac:dyDescent="0.25">
      <c r="A2" t="s">
        <v>2</v>
      </c>
      <c r="B2" t="s">
        <v>3</v>
      </c>
    </row>
    <row r="3" spans="1:2" x14ac:dyDescent="0.25">
      <c r="A3" t="s">
        <v>4</v>
      </c>
      <c r="B3">
        <v>174</v>
      </c>
    </row>
    <row r="4" spans="1:2" x14ac:dyDescent="0.25">
      <c r="A4" t="s">
        <v>5</v>
      </c>
      <c r="B4">
        <v>0</v>
      </c>
    </row>
    <row r="5" spans="1:2" x14ac:dyDescent="0.25">
      <c r="A5" t="s">
        <v>6</v>
      </c>
      <c r="B5" t="s">
        <v>7</v>
      </c>
    </row>
    <row r="6" spans="1:2" x14ac:dyDescent="0.25">
      <c r="A6" t="s">
        <v>8</v>
      </c>
      <c r="B6" t="s">
        <v>9</v>
      </c>
    </row>
    <row r="7" spans="1:2" x14ac:dyDescent="0.25">
      <c r="A7" t="s">
        <v>1</v>
      </c>
      <c r="B7" t="s">
        <v>10</v>
      </c>
    </row>
    <row r="8" spans="1:2" x14ac:dyDescent="0.25">
      <c r="A8" t="s">
        <v>11</v>
      </c>
      <c r="B8" t="s">
        <v>12</v>
      </c>
    </row>
    <row r="9" spans="1:2" x14ac:dyDescent="0.25">
      <c r="A9" t="s">
        <v>13</v>
      </c>
      <c r="B9" t="s">
        <v>14</v>
      </c>
    </row>
    <row r="10" spans="1:2" x14ac:dyDescent="0.25">
      <c r="A10" t="s">
        <v>15</v>
      </c>
      <c r="B10" t="s">
        <v>16</v>
      </c>
    </row>
    <row r="11" spans="1:2" x14ac:dyDescent="0.25">
      <c r="A11" t="s">
        <v>17</v>
      </c>
      <c r="B11" t="s">
        <v>18</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48"/>
  <sheetViews>
    <sheetView workbookViewId="0" showGridLines="0">
      <pane xSplit="3" ySplit="1" topLeftCell="D2" activePane="bottomRight" state="frozen"/>
      <selection pane="bottomRight"/>
    </sheetView>
  </sheetViews>
  <sheetFormatPr defaultRowHeight="15" outlineLevelRow="0" outlineLevelCol="0" x14ac:dyDescent="55"/>
  <cols>
    <col min="1" max="2" width="10" customWidth="1"/>
    <col min="3" max="3" width="11" customWidth="1"/>
    <col min="4" max="4" width="42" customWidth="1"/>
    <col min="5" max="5" width="24" customWidth="1"/>
    <col min="6" max="6" width="10" customWidth="1"/>
    <col min="7" max="7" width="11" customWidth="1"/>
    <col min="8" max="8" width="10" customWidth="1"/>
    <col min="9" max="9" width="11" customWidth="1"/>
    <col min="10" max="10" width="14" customWidth="1"/>
    <col min="11" max="11" width="23" customWidth="1"/>
    <col min="12" max="12" width="12" customWidth="1"/>
    <col min="13" max="13" width="16" customWidth="1"/>
    <col min="14" max="14" width="14" customWidth="1"/>
    <col min="15" max="15" width="15" customWidth="1"/>
    <col min="16" max="16" width="12" customWidth="1"/>
    <col min="17" max="17" width="32" customWidth="1"/>
    <col min="18" max="18" width="48" customWidth="1"/>
  </cols>
  <sheetData>
    <row r="1" ht="28" customHeight="1" spans="1:18" x14ac:dyDescent="0.25">
      <c r="A1" s="1" t="s">
        <v>19</v>
      </c>
      <c r="B1" s="1" t="s">
        <v>20</v>
      </c>
      <c r="C1" s="1" t="s">
        <v>21</v>
      </c>
      <c r="D1" s="1" t="s">
        <v>22</v>
      </c>
      <c r="E1" s="1" t="s">
        <v>23</v>
      </c>
      <c r="F1" s="1" t="s">
        <v>24</v>
      </c>
      <c r="G1" s="1" t="s">
        <v>25</v>
      </c>
      <c r="H1" s="1" t="s">
        <v>26</v>
      </c>
      <c r="I1" s="1" t="s">
        <v>27</v>
      </c>
      <c r="J1" s="1" t="s">
        <v>28</v>
      </c>
      <c r="K1" s="1" t="s">
        <v>29</v>
      </c>
      <c r="L1" s="1" t="s">
        <v>30</v>
      </c>
      <c r="M1" s="1" t="s">
        <v>31</v>
      </c>
      <c r="N1" s="1" t="s">
        <v>32</v>
      </c>
      <c r="O1" s="1" t="s">
        <v>33</v>
      </c>
      <c r="P1" s="1" t="s">
        <v>34</v>
      </c>
      <c r="Q1" s="1" t="s">
        <v>35</v>
      </c>
      <c r="R1" s="1" t="s">
        <v>36</v>
      </c>
    </row>
    <row r="2" spans="1:18" x14ac:dyDescent="0.25">
      <c r="A2" s="2" t="s">
        <v>37</v>
      </c>
      <c r="B2" s="2" t="s">
        <v>38</v>
      </c>
      <c r="C2" s="2" t="s">
        <v>39</v>
      </c>
      <c r="D2" s="2" t="s">
        <v>40</v>
      </c>
      <c r="E2" s="2" t="s">
        <v>41</v>
      </c>
      <c r="F2" s="2" t="s">
        <v>42</v>
      </c>
      <c r="G2" s="2" t="s">
        <v>7</v>
      </c>
      <c r="H2" s="2" t="s">
        <v>43</v>
      </c>
      <c r="I2" s="3">
        <v>46290.41666666667</v>
      </c>
      <c r="J2" s="2" t="s">
        <v>10</v>
      </c>
      <c r="K2" s="2" t="s">
        <v>44</v>
      </c>
      <c r="L2" s="4">
        <v>167.38</v>
      </c>
      <c r="M2" s="5">
        <f>IF(AND(ISNUMBER(N2),ISNUMBER(L2),L2&gt;0),ROUND(N2/L2,2),"")</f>
        <v>14338.63</v>
      </c>
      <c r="N2" s="6">
        <v>2400000</v>
      </c>
      <c r="O2" s="7">
        <v>427.66240199999993</v>
      </c>
      <c r="P2" s="8">
        <f>IF(AND(ISNUMBER(N2),ISNUMBER(O2),O2&gt;0),N2/(O2*10000),"")</f>
        <v>0.5611903194613774</v>
      </c>
      <c r="Q2" s="9" t="s">
        <v>45</v>
      </c>
      <c r="R2" s="9" t="s">
        <v>46</v>
      </c>
    </row>
    <row r="3" spans="1:18" x14ac:dyDescent="0.25">
      <c r="A3" s="2" t="s">
        <v>37</v>
      </c>
      <c r="B3" s="2" t="s">
        <v>38</v>
      </c>
      <c r="C3" s="2" t="s">
        <v>47</v>
      </c>
      <c r="D3" s="2" t="s">
        <v>48</v>
      </c>
      <c r="E3" s="2" t="s">
        <v>49</v>
      </c>
      <c r="F3" s="2" t="s">
        <v>42</v>
      </c>
      <c r="G3" s="2" t="s">
        <v>7</v>
      </c>
      <c r="H3" s="2" t="s">
        <v>43</v>
      </c>
      <c r="I3" s="3">
        <v>46289.41666666667</v>
      </c>
      <c r="J3" s="2" t="s">
        <v>10</v>
      </c>
      <c r="K3" s="2" t="s">
        <v>44</v>
      </c>
      <c r="L3" s="4">
        <v>91.96</v>
      </c>
      <c r="M3" s="5">
        <f>IF(AND(ISNUMBER(N3),ISNUMBER(L3),L3&gt;0),ROUND(N3/L3,2),"")</f>
        <v>4768.38</v>
      </c>
      <c r="N3" s="6">
        <v>438500</v>
      </c>
      <c r="O3" s="7">
        <v>78.166</v>
      </c>
      <c r="P3" s="8">
        <f>IF(AND(ISNUMBER(N3),ISNUMBER(O3),O3&gt;0),N3/(O3*10000),"")</f>
        <v>0.56098559475987</v>
      </c>
      <c r="Q3" s="9" t="s">
        <v>45</v>
      </c>
      <c r="R3" s="9" t="s">
        <v>50</v>
      </c>
    </row>
    <row r="4" spans="1:18" x14ac:dyDescent="0.25">
      <c r="A4" s="2" t="s">
        <v>37</v>
      </c>
      <c r="B4" s="2" t="s">
        <v>38</v>
      </c>
      <c r="C4" s="2" t="s">
        <v>51</v>
      </c>
      <c r="D4" s="2" t="s">
        <v>52</v>
      </c>
      <c r="E4" s="2" t="s">
        <v>53</v>
      </c>
      <c r="F4" s="2" t="s">
        <v>42</v>
      </c>
      <c r="G4" s="2" t="s">
        <v>7</v>
      </c>
      <c r="H4" s="2" t="s">
        <v>54</v>
      </c>
      <c r="I4" s="3">
        <v>46293.41666666667</v>
      </c>
      <c r="J4" s="2" t="s">
        <v>10</v>
      </c>
      <c r="K4" s="2" t="s">
        <v>55</v>
      </c>
      <c r="L4" s="4">
        <v>122.03</v>
      </c>
      <c r="M4" s="5">
        <f>IF(AND(ISNUMBER(N4),ISNUMBER(L4),L4&gt;0),ROUND(N4/L4,2),"")</f>
        <v>5716.42</v>
      </c>
      <c r="N4" s="6">
        <v>697575</v>
      </c>
      <c r="O4" s="7">
        <v>69.757573</v>
      </c>
      <c r="P4" s="8">
        <f>IF(AND(ISNUMBER(N4),ISNUMBER(O4),O4&gt;0),N4/(O4*10000),"")</f>
        <v>0.9999989535186381</v>
      </c>
      <c r="Q4" s="9" t="s">
        <v>45</v>
      </c>
      <c r="R4" s="9" t="s">
        <v>56</v>
      </c>
    </row>
    <row r="5" spans="1:18" x14ac:dyDescent="0.25">
      <c r="A5" s="2" t="s">
        <v>37</v>
      </c>
      <c r="B5" s="2" t="s">
        <v>38</v>
      </c>
      <c r="C5" s="2" t="s">
        <v>51</v>
      </c>
      <c r="D5" s="2" t="s">
        <v>57</v>
      </c>
      <c r="E5" s="2" t="s">
        <v>58</v>
      </c>
      <c r="F5" s="2" t="s">
        <v>42</v>
      </c>
      <c r="G5" s="2" t="s">
        <v>7</v>
      </c>
      <c r="H5" s="2" t="s">
        <v>54</v>
      </c>
      <c r="I5" s="3">
        <v>46293.41666666667</v>
      </c>
      <c r="J5" s="2" t="s">
        <v>10</v>
      </c>
      <c r="K5" s="2" t="s">
        <v>55</v>
      </c>
      <c r="L5" s="4">
        <v>120.96</v>
      </c>
      <c r="M5" s="5">
        <f>IF(AND(ISNUMBER(N5),ISNUMBER(L5),L5&gt;0),ROUND(N5/L5,2),"")</f>
        <v>4489.65</v>
      </c>
      <c r="N5" s="6">
        <v>543068</v>
      </c>
      <c r="O5" s="7">
        <v>67.88359200000001</v>
      </c>
      <c r="P5" s="8">
        <f>IF(AND(ISNUMBER(N5),ISNUMBER(O5),O5&gt;0),N5/(O5*10000),"")</f>
        <v>0.7999989157910206</v>
      </c>
      <c r="Q5" s="9" t="s">
        <v>45</v>
      </c>
      <c r="R5" s="9" t="s">
        <v>59</v>
      </c>
    </row>
    <row r="6" spans="1:18" x14ac:dyDescent="0.25">
      <c r="A6" s="2" t="s">
        <v>37</v>
      </c>
      <c r="B6" s="2" t="s">
        <v>38</v>
      </c>
      <c r="C6" s="2" t="s">
        <v>60</v>
      </c>
      <c r="D6" s="2" t="s">
        <v>61</v>
      </c>
      <c r="E6" s="2" t="s">
        <v>62</v>
      </c>
      <c r="F6" s="2" t="s">
        <v>42</v>
      </c>
      <c r="G6" s="2" t="s">
        <v>7</v>
      </c>
      <c r="H6" s="2" t="s">
        <v>54</v>
      </c>
      <c r="I6" s="3">
        <v>46294.41666666667</v>
      </c>
      <c r="J6" s="2" t="s">
        <v>10</v>
      </c>
      <c r="K6" s="2" t="s">
        <v>55</v>
      </c>
      <c r="L6" s="4">
        <v>129.42</v>
      </c>
      <c r="M6" s="5">
        <f>IF(AND(ISNUMBER(N6),ISNUMBER(L6),L6&gt;0),ROUND(N6/L6,2),"")</f>
        <v>2599.76</v>
      </c>
      <c r="N6" s="6">
        <v>336461</v>
      </c>
      <c r="O6" s="7">
        <v>42.057706</v>
      </c>
      <c r="P6" s="8">
        <f>IF(AND(ISNUMBER(N6),ISNUMBER(O6),O6&gt;0),N6/(O6*10000),"")</f>
        <v>0.7999984592597608</v>
      </c>
      <c r="Q6" s="9" t="s">
        <v>45</v>
      </c>
      <c r="R6" s="9" t="s">
        <v>63</v>
      </c>
    </row>
    <row r="7" spans="1:18" x14ac:dyDescent="0.25">
      <c r="A7" s="2" t="s">
        <v>37</v>
      </c>
      <c r="B7" s="2" t="s">
        <v>38</v>
      </c>
      <c r="C7" s="2" t="s">
        <v>51</v>
      </c>
      <c r="D7" s="2" t="s">
        <v>64</v>
      </c>
      <c r="E7" s="2" t="s">
        <v>65</v>
      </c>
      <c r="F7" s="2" t="s">
        <v>42</v>
      </c>
      <c r="G7" s="2" t="s">
        <v>7</v>
      </c>
      <c r="H7" s="2" t="s">
        <v>54</v>
      </c>
      <c r="I7" s="3">
        <v>46294.41666666667</v>
      </c>
      <c r="J7" s="2" t="s">
        <v>10</v>
      </c>
      <c r="K7" s="2" t="s">
        <v>66</v>
      </c>
      <c r="L7" s="4">
        <v>131.32</v>
      </c>
      <c r="M7" s="5">
        <f>IF(AND(ISNUMBER(N7),ISNUMBER(L7),L7&gt;0),ROUND(N7/L7,2),"")</f>
        <v>3357.9</v>
      </c>
      <c r="N7" s="6">
        <v>440960</v>
      </c>
      <c r="O7" s="7">
        <v>62.9942</v>
      </c>
      <c r="P7" s="8">
        <f>IF(AND(ISNUMBER(N7),ISNUMBER(O7),O7&gt;0),N7/(O7*10000),"")</f>
        <v>0.70000095246864</v>
      </c>
      <c r="Q7" s="9" t="s">
        <v>45</v>
      </c>
      <c r="R7" s="9" t="s">
        <v>67</v>
      </c>
    </row>
    <row r="8" spans="1:18" x14ac:dyDescent="0.25">
      <c r="A8" s="2" t="s">
        <v>37</v>
      </c>
      <c r="B8" s="2" t="s">
        <v>38</v>
      </c>
      <c r="C8" s="2" t="s">
        <v>47</v>
      </c>
      <c r="D8" s="2" t="s">
        <v>68</v>
      </c>
      <c r="E8" s="2" t="s">
        <v>69</v>
      </c>
      <c r="F8" s="2" t="s">
        <v>42</v>
      </c>
      <c r="G8" s="2" t="s">
        <v>7</v>
      </c>
      <c r="H8" s="2" t="s">
        <v>54</v>
      </c>
      <c r="I8" s="3">
        <v>46294.41666666667</v>
      </c>
      <c r="J8" s="2" t="s">
        <v>10</v>
      </c>
      <c r="K8" s="2" t="s">
        <v>44</v>
      </c>
      <c r="L8" s="4">
        <v>115.09</v>
      </c>
      <c r="M8" s="5">
        <f>IF(AND(ISNUMBER(N8),ISNUMBER(L8),L8&gt;0),ROUND(N8/L8,2),"")</f>
        <v>10513.51</v>
      </c>
      <c r="N8" s="6">
        <v>1210000</v>
      </c>
      <c r="O8" s="7">
        <v>172.635</v>
      </c>
      <c r="P8" s="8">
        <f>IF(AND(ISNUMBER(N8),ISNUMBER(O8),O8&gt;0),N8/(O8*10000),"")</f>
        <v>0.7009007443450054</v>
      </c>
      <c r="Q8" s="9" t="s">
        <v>45</v>
      </c>
      <c r="R8" s="9" t="s">
        <v>70</v>
      </c>
    </row>
    <row r="9" spans="1:18" x14ac:dyDescent="0.25">
      <c r="A9" s="2" t="s">
        <v>37</v>
      </c>
      <c r="B9" s="2" t="s">
        <v>38</v>
      </c>
      <c r="C9" s="2" t="s">
        <v>71</v>
      </c>
      <c r="D9" s="2" t="s">
        <v>72</v>
      </c>
      <c r="E9" s="2" t="s">
        <v>73</v>
      </c>
      <c r="F9" s="2" t="s">
        <v>42</v>
      </c>
      <c r="G9" s="2" t="s">
        <v>7</v>
      </c>
      <c r="H9" s="2" t="s">
        <v>54</v>
      </c>
      <c r="I9" s="3">
        <v>46294.41666666667</v>
      </c>
      <c r="J9" s="2" t="s">
        <v>10</v>
      </c>
      <c r="K9" s="2" t="s">
        <v>44</v>
      </c>
      <c r="L9" s="4">
        <v>135.98</v>
      </c>
      <c r="M9" s="5">
        <f>IF(AND(ISNUMBER(N9),ISNUMBER(L9),L9&gt;0),ROUND(N9/L9,2),"")</f>
        <v>2573.91</v>
      </c>
      <c r="N9" s="6">
        <v>350000</v>
      </c>
      <c r="O9" s="7">
        <v>49.124931</v>
      </c>
      <c r="P9" s="8">
        <f>IF(AND(ISNUMBER(N9),ISNUMBER(O9),O9&gt;0),N9/(O9*10000),"")</f>
        <v>0.7124691941043134</v>
      </c>
      <c r="Q9" s="9" t="s">
        <v>45</v>
      </c>
      <c r="R9" s="9" t="s">
        <v>74</v>
      </c>
    </row>
    <row r="10" spans="1:18" x14ac:dyDescent="0.25">
      <c r="A10" s="2" t="s">
        <v>37</v>
      </c>
      <c r="B10" s="2" t="s">
        <v>38</v>
      </c>
      <c r="C10" s="2" t="s">
        <v>75</v>
      </c>
      <c r="D10" s="2" t="s">
        <v>76</v>
      </c>
      <c r="E10" s="2" t="s">
        <v>77</v>
      </c>
      <c r="F10" s="2" t="s">
        <v>42</v>
      </c>
      <c r="G10" s="2" t="s">
        <v>7</v>
      </c>
      <c r="H10" s="2" t="s">
        <v>54</v>
      </c>
      <c r="I10" s="3">
        <v>46293.41666666667</v>
      </c>
      <c r="J10" s="2" t="s">
        <v>10</v>
      </c>
      <c r="K10" s="2" t="s">
        <v>44</v>
      </c>
      <c r="L10" s="4">
        <v>64.1</v>
      </c>
      <c r="M10" s="5">
        <f>IF(AND(ISNUMBER(N10),ISNUMBER(L10),L10&gt;0),ROUND(N10/L10,2),"")</f>
        <v>7254.29</v>
      </c>
      <c r="N10" s="6">
        <v>465000</v>
      </c>
      <c r="O10" s="7">
        <v>65.96994699999999</v>
      </c>
      <c r="P10" s="8">
        <f>IF(AND(ISNUMBER(N10),ISNUMBER(O10),O10&gt;0),N10/(O10*10000),"")</f>
        <v>0.704866414399272</v>
      </c>
      <c r="Q10" s="9" t="s">
        <v>45</v>
      </c>
      <c r="R10" s="9" t="s">
        <v>78</v>
      </c>
    </row>
    <row r="11" spans="1:18" x14ac:dyDescent="0.25">
      <c r="A11" s="2" t="s">
        <v>37</v>
      </c>
      <c r="B11" s="2" t="s">
        <v>38</v>
      </c>
      <c r="C11" s="2" t="s">
        <v>75</v>
      </c>
      <c r="D11" s="2" t="s">
        <v>79</v>
      </c>
      <c r="E11" s="2" t="s">
        <v>77</v>
      </c>
      <c r="F11" s="2" t="s">
        <v>42</v>
      </c>
      <c r="G11" s="2" t="s">
        <v>7</v>
      </c>
      <c r="H11" s="2" t="s">
        <v>54</v>
      </c>
      <c r="I11" s="3">
        <v>46293.41666666667</v>
      </c>
      <c r="J11" s="2" t="s">
        <v>10</v>
      </c>
      <c r="K11" s="2" t="s">
        <v>44</v>
      </c>
      <c r="L11" s="4">
        <v>46.42</v>
      </c>
      <c r="M11" s="5">
        <f>IF(AND(ISNUMBER(N11),ISNUMBER(L11),L11&gt;0),ROUND(N11/L11,2),"")</f>
        <v>12386.9</v>
      </c>
      <c r="N11" s="6">
        <v>575000</v>
      </c>
      <c r="O11" s="7">
        <v>82.014291</v>
      </c>
      <c r="P11" s="8">
        <f>IF(AND(ISNUMBER(N11),ISNUMBER(O11),O11&gt;0),N11/(O11*10000),"")</f>
        <v>0.70109732461139</v>
      </c>
      <c r="Q11" s="9" t="s">
        <v>45</v>
      </c>
      <c r="R11" s="9" t="s">
        <v>80</v>
      </c>
    </row>
    <row r="12" spans="1:18" x14ac:dyDescent="0.25">
      <c r="A12" s="2" t="s">
        <v>37</v>
      </c>
      <c r="B12" s="2" t="s">
        <v>38</v>
      </c>
      <c r="C12" s="2" t="s">
        <v>47</v>
      </c>
      <c r="D12" s="2" t="s">
        <v>81</v>
      </c>
      <c r="E12" s="2" t="s">
        <v>82</v>
      </c>
      <c r="F12" s="2" t="s">
        <v>42</v>
      </c>
      <c r="G12" s="2" t="s">
        <v>7</v>
      </c>
      <c r="H12" s="2" t="s">
        <v>54</v>
      </c>
      <c r="I12" s="3">
        <v>46294.41666666667</v>
      </c>
      <c r="J12" s="2" t="s">
        <v>10</v>
      </c>
      <c r="K12" s="2" t="s">
        <v>44</v>
      </c>
      <c r="L12" s="4">
        <v>68.71</v>
      </c>
      <c r="M12" s="5">
        <f>IF(AND(ISNUMBER(N12),ISNUMBER(L12),L12&gt;0),ROUND(N12/L12,2),"")</f>
        <v>7495.27</v>
      </c>
      <c r="N12" s="6">
        <v>515000</v>
      </c>
      <c r="O12" s="7">
        <v>73.01536899999999</v>
      </c>
      <c r="P12" s="8">
        <f>IF(AND(ISNUMBER(N12),ISNUMBER(O12),O12&gt;0),N12/(O12*10000),"")</f>
        <v>0.705330955733443</v>
      </c>
      <c r="Q12" s="9" t="s">
        <v>45</v>
      </c>
      <c r="R12" s="9" t="s">
        <v>83</v>
      </c>
    </row>
    <row r="13" spans="1:18" x14ac:dyDescent="0.25">
      <c r="A13" s="2" t="s">
        <v>37</v>
      </c>
      <c r="B13" s="2" t="s">
        <v>38</v>
      </c>
      <c r="C13" s="2" t="s">
        <v>60</v>
      </c>
      <c r="D13" s="2" t="s">
        <v>84</v>
      </c>
      <c r="E13" s="2" t="s">
        <v>85</v>
      </c>
      <c r="F13" s="2" t="s">
        <v>42</v>
      </c>
      <c r="G13" s="2" t="s">
        <v>7</v>
      </c>
      <c r="H13" s="2" t="s">
        <v>54</v>
      </c>
      <c r="I13" s="3">
        <v>46307.41666666667</v>
      </c>
      <c r="J13" s="2" t="s">
        <v>10</v>
      </c>
      <c r="K13" s="2" t="s">
        <v>86</v>
      </c>
      <c r="L13" s="4">
        <v>108.17</v>
      </c>
      <c r="M13" s="5">
        <f>IF(AND(ISNUMBER(N13),ISNUMBER(L13),L13&gt;0),ROUND(N13/L13,2),"")</f>
        <v>2776.19</v>
      </c>
      <c r="N13" s="6">
        <v>300300</v>
      </c>
      <c r="O13" s="7">
        <v>42.9</v>
      </c>
      <c r="P13" s="8">
        <f>IF(AND(ISNUMBER(N13),ISNUMBER(O13),O13&gt;0),N13/(O13*10000),"")</f>
        <v>0.7</v>
      </c>
      <c r="Q13" s="9" t="s">
        <v>45</v>
      </c>
      <c r="R13" s="9" t="s">
        <v>87</v>
      </c>
    </row>
    <row r="14" spans="1:18" x14ac:dyDescent="0.25">
      <c r="A14" s="2" t="s">
        <v>37</v>
      </c>
      <c r="B14" s="2" t="s">
        <v>38</v>
      </c>
      <c r="C14" s="2" t="s">
        <v>51</v>
      </c>
      <c r="D14" s="2" t="s">
        <v>88</v>
      </c>
      <c r="E14" s="2" t="s">
        <v>65</v>
      </c>
      <c r="F14" s="2" t="s">
        <v>42</v>
      </c>
      <c r="G14" s="2" t="s">
        <v>7</v>
      </c>
      <c r="H14" s="2" t="s">
        <v>43</v>
      </c>
      <c r="I14" s="3">
        <v>46278.41666666667</v>
      </c>
      <c r="J14" s="2" t="s">
        <v>10</v>
      </c>
      <c r="K14" s="2" t="s">
        <v>55</v>
      </c>
      <c r="L14" s="4">
        <v>132.09</v>
      </c>
      <c r="M14" s="5">
        <f>IF(AND(ISNUMBER(N14),ISNUMBER(L14),L14&gt;0),ROUND(N14/L14,2),"")</f>
        <v>3610.42</v>
      </c>
      <c r="N14" s="6">
        <v>476901</v>
      </c>
      <c r="O14" s="7">
        <v>66.236214</v>
      </c>
      <c r="P14" s="8">
        <f>IF(AND(ISNUMBER(N14),ISNUMBER(O14),O14&gt;0),N14/(O14*10000),"")</f>
        <v>0.7200003913267145</v>
      </c>
      <c r="Q14" s="9" t="s">
        <v>45</v>
      </c>
      <c r="R14" s="9" t="s">
        <v>89</v>
      </c>
    </row>
    <row r="15" spans="1:18" x14ac:dyDescent="0.25">
      <c r="A15" s="2" t="s">
        <v>37</v>
      </c>
      <c r="B15" s="2" t="s">
        <v>38</v>
      </c>
      <c r="C15" s="2" t="s">
        <v>47</v>
      </c>
      <c r="D15" s="2" t="s">
        <v>90</v>
      </c>
      <c r="E15" s="2" t="s">
        <v>91</v>
      </c>
      <c r="F15" s="2" t="s">
        <v>42</v>
      </c>
      <c r="G15" s="2" t="s">
        <v>7</v>
      </c>
      <c r="H15" s="2" t="s">
        <v>43</v>
      </c>
      <c r="I15" s="3">
        <v>46280.41666666667</v>
      </c>
      <c r="J15" s="2" t="s">
        <v>10</v>
      </c>
      <c r="K15" s="2" t="s">
        <v>86</v>
      </c>
      <c r="L15" s="4">
        <v>139.99</v>
      </c>
      <c r="M15" s="5">
        <f>IF(AND(ISNUMBER(N15),ISNUMBER(L15),L15&gt;0),ROUND(N15/L15,2),"")</f>
        <v>12320</v>
      </c>
      <c r="N15" s="6">
        <v>1724677</v>
      </c>
      <c r="O15" s="7">
        <v>307.978</v>
      </c>
      <c r="P15" s="8">
        <f>IF(AND(ISNUMBER(N15),ISNUMBER(O15),O15&gt;0),N15/(O15*10000),"")</f>
        <v>0.5600000649397034</v>
      </c>
      <c r="Q15" s="9" t="s">
        <v>45</v>
      </c>
      <c r="R15" s="9" t="s">
        <v>92</v>
      </c>
    </row>
    <row r="16" spans="1:18" x14ac:dyDescent="0.25">
      <c r="A16" s="2" t="s">
        <v>37</v>
      </c>
      <c r="B16" s="2" t="s">
        <v>38</v>
      </c>
      <c r="C16" s="2" t="s">
        <v>39</v>
      </c>
      <c r="D16" s="2" t="s">
        <v>93</v>
      </c>
      <c r="E16" s="2" t="s">
        <v>94</v>
      </c>
      <c r="F16" s="2" t="s">
        <v>42</v>
      </c>
      <c r="G16" s="2" t="s">
        <v>7</v>
      </c>
      <c r="H16" s="2" t="s">
        <v>95</v>
      </c>
      <c r="I16" s="10"/>
      <c r="J16" s="2" t="s">
        <v>10</v>
      </c>
      <c r="K16" s="2" t="s">
        <v>86</v>
      </c>
      <c r="L16" s="4">
        <v>119.91</v>
      </c>
      <c r="M16" s="5">
        <f>IF(AND(ISNUMBER(N16),ISNUMBER(L16),L16&gt;0),ROUND(N16/L16,2),"")</f>
        <v>8400</v>
      </c>
      <c r="N16" s="6">
        <v>1007244</v>
      </c>
      <c r="O16" s="7">
        <v>179.865</v>
      </c>
      <c r="P16" s="8">
        <f>IF(AND(ISNUMBER(N16),ISNUMBER(O16),O16&gt;0),N16/(O16*10000),"")</f>
        <v>0.56</v>
      </c>
      <c r="Q16" s="9" t="s">
        <v>45</v>
      </c>
      <c r="R16" s="9" t="s">
        <v>96</v>
      </c>
    </row>
    <row r="17" spans="1:18" x14ac:dyDescent="0.25">
      <c r="A17" s="2" t="s">
        <v>37</v>
      </c>
      <c r="B17" s="2" t="s">
        <v>38</v>
      </c>
      <c r="C17" s="2" t="s">
        <v>97</v>
      </c>
      <c r="D17" s="2" t="s">
        <v>98</v>
      </c>
      <c r="E17" s="2" t="s">
        <v>99</v>
      </c>
      <c r="F17" s="2" t="s">
        <v>42</v>
      </c>
      <c r="G17" s="2" t="s">
        <v>7</v>
      </c>
      <c r="H17" s="2" t="s">
        <v>95</v>
      </c>
      <c r="I17" s="3">
        <v>46279.41666666667</v>
      </c>
      <c r="J17" s="2" t="s">
        <v>10</v>
      </c>
      <c r="K17" s="2" t="s">
        <v>100</v>
      </c>
      <c r="L17" s="4">
        <v>118.51</v>
      </c>
      <c r="M17" s="5">
        <f>IF(AND(ISNUMBER(N17),ISNUMBER(L17),L17&gt;0),ROUND(N17/L17,2),"")</f>
        <v>12162.2</v>
      </c>
      <c r="N17" s="6">
        <v>1441342</v>
      </c>
      <c r="O17" s="7">
        <v>257.38236</v>
      </c>
      <c r="P17" s="8">
        <f>IF(AND(ISNUMBER(N17),ISNUMBER(O17),O17&gt;0),N17/(O17*10000),"")</f>
        <v>0.5600003046051796</v>
      </c>
      <c r="Q17" s="2" t="s">
        <v>101</v>
      </c>
      <c r="R17" s="9" t="s">
        <v>102</v>
      </c>
    </row>
    <row r="18" spans="1:18" x14ac:dyDescent="0.25">
      <c r="A18" s="2" t="s">
        <v>37</v>
      </c>
      <c r="B18" s="2" t="s">
        <v>103</v>
      </c>
      <c r="C18" s="2" t="s">
        <v>104</v>
      </c>
      <c r="D18" s="2" t="s">
        <v>105</v>
      </c>
      <c r="E18" s="2" t="s">
        <v>106</v>
      </c>
      <c r="F18" s="2" t="s">
        <v>42</v>
      </c>
      <c r="G18" s="2" t="s">
        <v>7</v>
      </c>
      <c r="H18" s="2" t="s">
        <v>43</v>
      </c>
      <c r="I18" s="3">
        <v>46279.41666666667</v>
      </c>
      <c r="J18" s="2" t="s">
        <v>10</v>
      </c>
      <c r="K18" s="2" t="s">
        <v>107</v>
      </c>
      <c r="L18" s="4">
        <v>83.7</v>
      </c>
      <c r="M18" s="5">
        <f>IF(AND(ISNUMBER(N18),ISNUMBER(L18),L18&gt;0),ROUND(N18/L18,2),"")</f>
        <v>7945.33</v>
      </c>
      <c r="N18" s="6">
        <v>665024</v>
      </c>
      <c r="O18" s="7">
        <v>103.91</v>
      </c>
      <c r="P18" s="8">
        <f>IF(AND(ISNUMBER(N18),ISNUMBER(O18),O18&gt;0),N18/(O18*10000),"")</f>
        <v>0.64</v>
      </c>
      <c r="Q18" s="9" t="s">
        <v>45</v>
      </c>
      <c r="R18" s="9" t="s">
        <v>108</v>
      </c>
    </row>
    <row r="19" spans="1:18" x14ac:dyDescent="0.25">
      <c r="A19" s="2" t="s">
        <v>37</v>
      </c>
      <c r="B19" s="2" t="s">
        <v>103</v>
      </c>
      <c r="C19" s="2" t="s">
        <v>109</v>
      </c>
      <c r="D19" s="2" t="s">
        <v>110</v>
      </c>
      <c r="E19" s="2" t="s">
        <v>111</v>
      </c>
      <c r="F19" s="2" t="s">
        <v>42</v>
      </c>
      <c r="G19" s="2" t="s">
        <v>7</v>
      </c>
      <c r="H19" s="2" t="s">
        <v>43</v>
      </c>
      <c r="I19" s="3">
        <v>46279.41666666667</v>
      </c>
      <c r="J19" s="2" t="s">
        <v>10</v>
      </c>
      <c r="K19" s="2" t="s">
        <v>107</v>
      </c>
      <c r="L19" s="4">
        <v>182.7</v>
      </c>
      <c r="M19" s="5">
        <f>IF(AND(ISNUMBER(N19),ISNUMBER(L19),L19&gt;0),ROUND(N19/L19,2),"")</f>
        <v>7958.4</v>
      </c>
      <c r="N19" s="6">
        <v>1454000</v>
      </c>
      <c r="O19" s="7">
        <v>227.17</v>
      </c>
      <c r="P19" s="8">
        <f>IF(AND(ISNUMBER(N19),ISNUMBER(O19),O19&gt;0),N19/(O19*10000),"")</f>
        <v>0.6400493022846326</v>
      </c>
      <c r="Q19" s="9" t="s">
        <v>45</v>
      </c>
      <c r="R19" s="9" t="s">
        <v>112</v>
      </c>
    </row>
    <row r="20" spans="1:18" x14ac:dyDescent="0.25">
      <c r="A20" s="2" t="s">
        <v>37</v>
      </c>
      <c r="B20" s="2" t="s">
        <v>103</v>
      </c>
      <c r="C20" s="2" t="s">
        <v>113</v>
      </c>
      <c r="D20" s="2" t="s">
        <v>114</v>
      </c>
      <c r="E20" s="2" t="s">
        <v>115</v>
      </c>
      <c r="F20" s="2" t="s">
        <v>42</v>
      </c>
      <c r="G20" s="2" t="s">
        <v>7</v>
      </c>
      <c r="H20" s="2" t="s">
        <v>43</v>
      </c>
      <c r="I20" s="3">
        <v>46279.41666666667</v>
      </c>
      <c r="J20" s="2" t="s">
        <v>10</v>
      </c>
      <c r="K20" s="2" t="s">
        <v>107</v>
      </c>
      <c r="L20" s="4">
        <v>40.19</v>
      </c>
      <c r="M20" s="5">
        <f>IF(AND(ISNUMBER(N20),ISNUMBER(L20),L20&gt;0),ROUND(N20/L20,2),"")</f>
        <v>4080.62</v>
      </c>
      <c r="N20" s="6">
        <v>164000</v>
      </c>
      <c r="O20" s="7">
        <v>25.59</v>
      </c>
      <c r="P20" s="8">
        <f>IF(AND(ISNUMBER(N20),ISNUMBER(O20),O20&gt;0),N20/(O20*10000),"")</f>
        <v>0.6408753419304416</v>
      </c>
      <c r="Q20" s="9" t="s">
        <v>45</v>
      </c>
      <c r="R20" s="9" t="s">
        <v>116</v>
      </c>
    </row>
    <row r="21" spans="1:18" x14ac:dyDescent="0.25">
      <c r="A21" s="2" t="s">
        <v>37</v>
      </c>
      <c r="B21" s="2" t="s">
        <v>103</v>
      </c>
      <c r="C21" s="2" t="s">
        <v>117</v>
      </c>
      <c r="D21" s="2" t="s">
        <v>118</v>
      </c>
      <c r="E21" s="2" t="s">
        <v>119</v>
      </c>
      <c r="F21" s="2" t="s">
        <v>42</v>
      </c>
      <c r="G21" s="2" t="s">
        <v>7</v>
      </c>
      <c r="H21" s="2" t="s">
        <v>54</v>
      </c>
      <c r="I21" s="10"/>
      <c r="J21" s="2" t="s">
        <v>10</v>
      </c>
      <c r="K21" s="2" t="s">
        <v>120</v>
      </c>
      <c r="L21" s="4">
        <v>105.88</v>
      </c>
      <c r="M21" s="5">
        <f>IF(AND(ISNUMBER(N21),ISNUMBER(L21),L21&gt;0),ROUND(N21/L21,2),"")</f>
        <v>5354.77</v>
      </c>
      <c r="N21" s="6">
        <v>566963.49</v>
      </c>
      <c r="O21" s="7">
        <v>80.994784</v>
      </c>
      <c r="P21" s="8">
        <f>IF(AND(ISNUMBER(N21),ISNUMBER(O21),O21&gt;0),N21/(O21*10000),"")</f>
        <v>0.7000000024692948</v>
      </c>
      <c r="Q21" s="9" t="s">
        <v>45</v>
      </c>
      <c r="R21" s="9" t="s">
        <v>121</v>
      </c>
    </row>
    <row r="22" spans="1:18" x14ac:dyDescent="0.25">
      <c r="A22" s="2" t="s">
        <v>37</v>
      </c>
      <c r="B22" s="2" t="s">
        <v>103</v>
      </c>
      <c r="C22" s="2" t="s">
        <v>122</v>
      </c>
      <c r="D22" s="2" t="s">
        <v>123</v>
      </c>
      <c r="E22" s="2" t="s">
        <v>124</v>
      </c>
      <c r="F22" s="2" t="s">
        <v>42</v>
      </c>
      <c r="G22" s="2" t="s">
        <v>7</v>
      </c>
      <c r="H22" s="2" t="s">
        <v>54</v>
      </c>
      <c r="I22" s="3">
        <v>46294.41666666667</v>
      </c>
      <c r="J22" s="2" t="s">
        <v>10</v>
      </c>
      <c r="K22" s="2" t="s">
        <v>125</v>
      </c>
      <c r="L22" s="4">
        <v>109.56</v>
      </c>
      <c r="M22" s="5">
        <f>IF(AND(ISNUMBER(N22),ISNUMBER(L22),L22&gt;0),ROUND(N22/L22,2),"")</f>
        <v>2800</v>
      </c>
      <c r="N22" s="6">
        <v>306768</v>
      </c>
      <c r="O22" s="7">
        <v>43.824</v>
      </c>
      <c r="P22" s="8">
        <f>IF(AND(ISNUMBER(N22),ISNUMBER(O22),O22&gt;0),N22/(O22*10000),"")</f>
        <v>0.7</v>
      </c>
      <c r="Q22" s="9" t="s">
        <v>45</v>
      </c>
      <c r="R22" s="9" t="s">
        <v>126</v>
      </c>
    </row>
    <row r="23" spans="1:18" x14ac:dyDescent="0.25">
      <c r="A23" s="2" t="s">
        <v>37</v>
      </c>
      <c r="B23" s="2" t="s">
        <v>103</v>
      </c>
      <c r="C23" s="2" t="s">
        <v>127</v>
      </c>
      <c r="D23" s="2" t="s">
        <v>128</v>
      </c>
      <c r="E23" s="2" t="s">
        <v>129</v>
      </c>
      <c r="F23" s="2" t="s">
        <v>42</v>
      </c>
      <c r="G23" s="2" t="s">
        <v>7</v>
      </c>
      <c r="H23" s="2" t="s">
        <v>43</v>
      </c>
      <c r="I23" s="3">
        <v>46277.41666666667</v>
      </c>
      <c r="J23" s="2" t="s">
        <v>10</v>
      </c>
      <c r="K23" s="2" t="s">
        <v>130</v>
      </c>
      <c r="L23" s="4">
        <v>125.6</v>
      </c>
      <c r="M23" s="5">
        <f>IF(AND(ISNUMBER(N23),ISNUMBER(L23),L23&gt;0),ROUND(N23/L23,2),"")</f>
        <v>3184.71</v>
      </c>
      <c r="N23" s="6">
        <v>400000</v>
      </c>
      <c r="O23" s="7">
        <v>62.717611</v>
      </c>
      <c r="P23" s="8">
        <f>IF(AND(ISNUMBER(N23),ISNUMBER(O23),O23&gt;0),N23/(O23*10000),"")</f>
        <v>0.6377793950091626</v>
      </c>
      <c r="Q23" s="9" t="s">
        <v>45</v>
      </c>
      <c r="R23" s="9" t="s">
        <v>131</v>
      </c>
    </row>
    <row r="24" spans="1:18" x14ac:dyDescent="0.25">
      <c r="A24" s="2" t="s">
        <v>37</v>
      </c>
      <c r="B24" s="2" t="s">
        <v>103</v>
      </c>
      <c r="C24" s="2" t="s">
        <v>132</v>
      </c>
      <c r="D24" s="2" t="s">
        <v>133</v>
      </c>
      <c r="E24" s="2" t="s">
        <v>134</v>
      </c>
      <c r="F24" s="2" t="s">
        <v>42</v>
      </c>
      <c r="G24" s="2" t="s">
        <v>7</v>
      </c>
      <c r="H24" s="2" t="s">
        <v>43</v>
      </c>
      <c r="I24" s="3">
        <v>46277.41666666667</v>
      </c>
      <c r="J24" s="2" t="s">
        <v>10</v>
      </c>
      <c r="K24" s="2" t="s">
        <v>130</v>
      </c>
      <c r="L24" s="4">
        <v>100.35</v>
      </c>
      <c r="M24" s="5">
        <f>IF(AND(ISNUMBER(N24),ISNUMBER(L24),L24&gt;0),ROUND(N24/L24,2),"")</f>
        <v>4583.96</v>
      </c>
      <c r="N24" s="6">
        <v>460000</v>
      </c>
      <c r="O24" s="7">
        <v>52.914683999999994</v>
      </c>
      <c r="P24" s="8">
        <f>IF(AND(ISNUMBER(N24),ISNUMBER(O24),O24&gt;0),N24/(O24*10000),"")</f>
        <v>0.8693239101645207</v>
      </c>
      <c r="Q24" s="9" t="s">
        <v>45</v>
      </c>
      <c r="R24" s="9" t="s">
        <v>135</v>
      </c>
    </row>
    <row r="25" spans="1:18" x14ac:dyDescent="0.25">
      <c r="A25" s="2" t="s">
        <v>37</v>
      </c>
      <c r="B25" s="2" t="s">
        <v>103</v>
      </c>
      <c r="C25" s="2" t="s">
        <v>132</v>
      </c>
      <c r="D25" s="2" t="s">
        <v>136</v>
      </c>
      <c r="E25" s="2" t="s">
        <v>137</v>
      </c>
      <c r="F25" s="2" t="s">
        <v>42</v>
      </c>
      <c r="G25" s="2" t="s">
        <v>7</v>
      </c>
      <c r="H25" s="2" t="s">
        <v>43</v>
      </c>
      <c r="I25" s="3">
        <v>46277.41666666667</v>
      </c>
      <c r="J25" s="2" t="s">
        <v>10</v>
      </c>
      <c r="K25" s="2" t="s">
        <v>130</v>
      </c>
      <c r="L25" s="4">
        <v>89.33</v>
      </c>
      <c r="M25" s="5">
        <f>IF(AND(ISNUMBER(N25),ISNUMBER(L25),L25&gt;0),ROUND(N25/L25,2),"")</f>
        <v>3022.5</v>
      </c>
      <c r="N25" s="6">
        <v>270000</v>
      </c>
      <c r="O25" s="7">
        <v>43.996745000000004</v>
      </c>
      <c r="P25" s="8">
        <f>IF(AND(ISNUMBER(N25),ISNUMBER(O25),O25&gt;0),N25/(O25*10000),"")</f>
        <v>0.613681762139449</v>
      </c>
      <c r="Q25" s="9" t="s">
        <v>45</v>
      </c>
      <c r="R25" s="9" t="s">
        <v>138</v>
      </c>
    </row>
    <row r="26" spans="1:18" x14ac:dyDescent="0.25">
      <c r="A26" s="2" t="s">
        <v>37</v>
      </c>
      <c r="B26" s="2" t="s">
        <v>103</v>
      </c>
      <c r="C26" s="2" t="s">
        <v>127</v>
      </c>
      <c r="D26" s="2" t="s">
        <v>139</v>
      </c>
      <c r="E26" s="2" t="s">
        <v>140</v>
      </c>
      <c r="F26" s="2" t="s">
        <v>42</v>
      </c>
      <c r="G26" s="2" t="s">
        <v>7</v>
      </c>
      <c r="H26" s="2" t="s">
        <v>43</v>
      </c>
      <c r="I26" s="3">
        <v>46277.41666666667</v>
      </c>
      <c r="J26" s="2" t="s">
        <v>10</v>
      </c>
      <c r="K26" s="2" t="s">
        <v>130</v>
      </c>
      <c r="L26" s="4">
        <v>214.45</v>
      </c>
      <c r="M26" s="5">
        <f>IF(AND(ISNUMBER(N26),ISNUMBER(L26),L26&gt;0),ROUND(N26/L26,2),"")</f>
        <v>1865.24</v>
      </c>
      <c r="N26" s="6">
        <v>400000</v>
      </c>
      <c r="O26" s="7">
        <v>63.970434999999995</v>
      </c>
      <c r="P26" s="8">
        <f>IF(AND(ISNUMBER(N26),ISNUMBER(O26),O26&gt;0),N26/(O26*10000),"")</f>
        <v>0.6252888541401977</v>
      </c>
      <c r="Q26" s="9" t="s">
        <v>45</v>
      </c>
      <c r="R26" s="9" t="s">
        <v>141</v>
      </c>
    </row>
    <row r="27" spans="1:18" x14ac:dyDescent="0.25">
      <c r="A27" s="2" t="s">
        <v>37</v>
      </c>
      <c r="B27" s="2" t="s">
        <v>103</v>
      </c>
      <c r="C27" s="2" t="s">
        <v>127</v>
      </c>
      <c r="D27" s="2" t="s">
        <v>142</v>
      </c>
      <c r="E27" s="2" t="s">
        <v>143</v>
      </c>
      <c r="F27" s="2" t="s">
        <v>42</v>
      </c>
      <c r="G27" s="2" t="s">
        <v>7</v>
      </c>
      <c r="H27" s="2" t="s">
        <v>43</v>
      </c>
      <c r="I27" s="3">
        <v>46277.41666666667</v>
      </c>
      <c r="J27" s="2" t="s">
        <v>10</v>
      </c>
      <c r="K27" s="2" t="s">
        <v>130</v>
      </c>
      <c r="L27" s="4">
        <v>136.57</v>
      </c>
      <c r="M27" s="5">
        <f>IF(AND(ISNUMBER(N27),ISNUMBER(L27),L27&gt;0),ROUND(N27/L27,2),"")</f>
        <v>2782.46</v>
      </c>
      <c r="N27" s="6">
        <v>380000</v>
      </c>
      <c r="O27" s="7">
        <v>58.574873</v>
      </c>
      <c r="P27" s="8">
        <f>IF(AND(ISNUMBER(N27),ISNUMBER(O27),O27&gt;0),N27/(O27*10000),"")</f>
        <v>0.6487423370085669</v>
      </c>
      <c r="Q27" s="9" t="s">
        <v>45</v>
      </c>
      <c r="R27" s="9" t="s">
        <v>144</v>
      </c>
    </row>
    <row r="28" spans="1:18" x14ac:dyDescent="0.25">
      <c r="A28" s="2" t="s">
        <v>37</v>
      </c>
      <c r="B28" s="2" t="s">
        <v>103</v>
      </c>
      <c r="C28" s="2" t="s">
        <v>127</v>
      </c>
      <c r="D28" s="2" t="s">
        <v>145</v>
      </c>
      <c r="E28" s="2" t="s">
        <v>146</v>
      </c>
      <c r="F28" s="2" t="s">
        <v>42</v>
      </c>
      <c r="G28" s="2" t="s">
        <v>7</v>
      </c>
      <c r="H28" s="2" t="s">
        <v>43</v>
      </c>
      <c r="I28" s="3">
        <v>46277.41666666667</v>
      </c>
      <c r="J28" s="2" t="s">
        <v>10</v>
      </c>
      <c r="K28" s="2" t="s">
        <v>130</v>
      </c>
      <c r="L28" s="4">
        <v>141.54</v>
      </c>
      <c r="M28" s="5">
        <f>IF(AND(ISNUMBER(N28),ISNUMBER(L28),L28&gt;0),ROUND(N28/L28,2),"")</f>
        <v>2472.8</v>
      </c>
      <c r="N28" s="6">
        <v>350000</v>
      </c>
      <c r="O28" s="7">
        <v>57.829112</v>
      </c>
      <c r="P28" s="8">
        <f>IF(AND(ISNUMBER(N28),ISNUMBER(O28),O28&gt;0),N28/(O28*10000),"")</f>
        <v>0.6052314965514255</v>
      </c>
      <c r="Q28" s="9" t="s">
        <v>45</v>
      </c>
      <c r="R28" s="9" t="s">
        <v>147</v>
      </c>
    </row>
    <row r="29" spans="1:18" x14ac:dyDescent="0.25">
      <c r="A29" s="2" t="s">
        <v>37</v>
      </c>
      <c r="B29" s="2" t="s">
        <v>103</v>
      </c>
      <c r="C29" s="2" t="s">
        <v>127</v>
      </c>
      <c r="D29" s="2" t="s">
        <v>148</v>
      </c>
      <c r="E29" s="2" t="s">
        <v>149</v>
      </c>
      <c r="F29" s="2" t="s">
        <v>42</v>
      </c>
      <c r="G29" s="2" t="s">
        <v>7</v>
      </c>
      <c r="H29" s="2" t="s">
        <v>43</v>
      </c>
      <c r="I29" s="3">
        <v>46277.41666666667</v>
      </c>
      <c r="J29" s="2" t="s">
        <v>10</v>
      </c>
      <c r="K29" s="2" t="s">
        <v>130</v>
      </c>
      <c r="L29" s="4">
        <v>142.1</v>
      </c>
      <c r="M29" s="5">
        <f>IF(AND(ISNUMBER(N29),ISNUMBER(L29),L29&gt;0),ROUND(N29/L29,2),"")</f>
        <v>3518.65</v>
      </c>
      <c r="N29" s="6">
        <v>500000</v>
      </c>
      <c r="O29" s="7">
        <v>79.29513399999999</v>
      </c>
      <c r="P29" s="8">
        <f>IF(AND(ISNUMBER(N29),ISNUMBER(O29),O29&gt;0),N29/(O29*10000),"")</f>
        <v>0.6305557160670163</v>
      </c>
      <c r="Q29" s="9" t="s">
        <v>45</v>
      </c>
      <c r="R29" s="9" t="s">
        <v>150</v>
      </c>
    </row>
    <row r="30" spans="1:18" x14ac:dyDescent="0.25">
      <c r="A30" s="2" t="s">
        <v>37</v>
      </c>
      <c r="B30" s="2" t="s">
        <v>103</v>
      </c>
      <c r="C30" s="2" t="s">
        <v>109</v>
      </c>
      <c r="D30" s="2" t="s">
        <v>151</v>
      </c>
      <c r="E30" s="2" t="s">
        <v>152</v>
      </c>
      <c r="F30" s="2" t="s">
        <v>42</v>
      </c>
      <c r="G30" s="2" t="s">
        <v>7</v>
      </c>
      <c r="H30" s="2" t="s">
        <v>43</v>
      </c>
      <c r="I30" s="3">
        <v>46279.41666666667</v>
      </c>
      <c r="J30" s="2" t="s">
        <v>10</v>
      </c>
      <c r="K30" s="2" t="s">
        <v>107</v>
      </c>
      <c r="L30" s="4">
        <v>83.54</v>
      </c>
      <c r="M30" s="5">
        <f>IF(AND(ISNUMBER(N30),ISNUMBER(L30),L30&gt;0),ROUND(N30/L30,2),"")</f>
        <v>5745.75</v>
      </c>
      <c r="N30" s="6">
        <v>480000</v>
      </c>
      <c r="O30" s="7">
        <v>73.966316</v>
      </c>
      <c r="P30" s="8">
        <f>IF(AND(ISNUMBER(N30),ISNUMBER(O30),O30&gt;0),N30/(O30*10000),"")</f>
        <v>0.6489440409604825</v>
      </c>
      <c r="Q30" s="9" t="s">
        <v>45</v>
      </c>
      <c r="R30" s="9" t="s">
        <v>153</v>
      </c>
    </row>
    <row r="31" spans="1:18" x14ac:dyDescent="0.25">
      <c r="A31" s="2" t="s">
        <v>37</v>
      </c>
      <c r="B31" s="2" t="s">
        <v>103</v>
      </c>
      <c r="C31" s="2" t="s">
        <v>113</v>
      </c>
      <c r="D31" s="2" t="s">
        <v>154</v>
      </c>
      <c r="E31" s="2" t="s">
        <v>155</v>
      </c>
      <c r="F31" s="2" t="s">
        <v>42</v>
      </c>
      <c r="G31" s="2" t="s">
        <v>7</v>
      </c>
      <c r="H31" s="2" t="s">
        <v>95</v>
      </c>
      <c r="I31" s="3">
        <v>46279.41666666667</v>
      </c>
      <c r="J31" s="2" t="s">
        <v>10</v>
      </c>
      <c r="K31" s="2" t="s">
        <v>156</v>
      </c>
      <c r="L31" s="4">
        <v>87.39</v>
      </c>
      <c r="M31" s="5">
        <f>IF(AND(ISNUMBER(N31),ISNUMBER(L31),L31&gt;0),ROUND(N31/L31,2),"")</f>
        <v>2368.65</v>
      </c>
      <c r="N31" s="6">
        <v>206996</v>
      </c>
      <c r="O31" s="7">
        <v>36.9635</v>
      </c>
      <c r="P31" s="8">
        <f>IF(AND(ISNUMBER(N31),ISNUMBER(O31),O31&gt;0),N31/(O31*10000),"")</f>
        <v>0.560001082148606</v>
      </c>
      <c r="Q31" s="9" t="s">
        <v>45</v>
      </c>
      <c r="R31" s="9" t="s">
        <v>157</v>
      </c>
    </row>
    <row r="32" spans="1:18" x14ac:dyDescent="0.25">
      <c r="A32" s="2" t="s">
        <v>37</v>
      </c>
      <c r="B32" s="2" t="s">
        <v>103</v>
      </c>
      <c r="C32" s="2" t="s">
        <v>109</v>
      </c>
      <c r="D32" s="2" t="s">
        <v>158</v>
      </c>
      <c r="E32" s="2" t="s">
        <v>159</v>
      </c>
      <c r="F32" s="2" t="s">
        <v>42</v>
      </c>
      <c r="G32" s="2" t="s">
        <v>7</v>
      </c>
      <c r="H32" s="2" t="s">
        <v>43</v>
      </c>
      <c r="I32" s="3">
        <v>46279.41666666667</v>
      </c>
      <c r="J32" s="2" t="s">
        <v>10</v>
      </c>
      <c r="K32" s="2" t="s">
        <v>107</v>
      </c>
      <c r="L32" s="4">
        <v>102.88</v>
      </c>
      <c r="M32" s="5">
        <f>IF(AND(ISNUMBER(N32),ISNUMBER(L32),L32&gt;0),ROUND(N32/L32,2),"")</f>
        <v>10264.39</v>
      </c>
      <c r="N32" s="6">
        <v>1056000</v>
      </c>
      <c r="O32" s="7">
        <v>164.608</v>
      </c>
      <c r="P32" s="8">
        <f>IF(AND(ISNUMBER(N32),ISNUMBER(O32),O32&gt;0),N32/(O32*10000),"")</f>
        <v>0.6415241057542769</v>
      </c>
      <c r="Q32" s="9" t="s">
        <v>45</v>
      </c>
      <c r="R32" s="9" t="s">
        <v>160</v>
      </c>
    </row>
    <row r="33" spans="1:18" x14ac:dyDescent="0.25">
      <c r="A33" s="2" t="s">
        <v>37</v>
      </c>
      <c r="B33" s="2" t="s">
        <v>103</v>
      </c>
      <c r="C33" s="2" t="s">
        <v>109</v>
      </c>
      <c r="D33" s="2" t="s">
        <v>161</v>
      </c>
      <c r="E33" s="2" t="s">
        <v>152</v>
      </c>
      <c r="F33" s="2" t="s">
        <v>42</v>
      </c>
      <c r="G33" s="2" t="s">
        <v>7</v>
      </c>
      <c r="H33" s="2" t="s">
        <v>43</v>
      </c>
      <c r="I33" s="3">
        <v>46279.41666666667</v>
      </c>
      <c r="J33" s="2" t="s">
        <v>10</v>
      </c>
      <c r="K33" s="2" t="s">
        <v>107</v>
      </c>
      <c r="L33" s="4">
        <v>143.14</v>
      </c>
      <c r="M33" s="5">
        <f>IF(AND(ISNUMBER(N33),ISNUMBER(L33),L33&gt;0),ROUND(N33/L33,2),"")</f>
        <v>5533.04</v>
      </c>
      <c r="N33" s="6">
        <v>792000</v>
      </c>
      <c r="O33" s="7">
        <v>123.47256399999999</v>
      </c>
      <c r="P33" s="8">
        <f>IF(AND(ISNUMBER(N33),ISNUMBER(O33),O33&gt;0),N33/(O33*10000),"")</f>
        <v>0.6414380444873568</v>
      </c>
      <c r="Q33" s="9" t="s">
        <v>45</v>
      </c>
      <c r="R33" s="9" t="s">
        <v>162</v>
      </c>
    </row>
    <row r="34" spans="1:18" x14ac:dyDescent="0.25">
      <c r="A34" s="2" t="s">
        <v>37</v>
      </c>
      <c r="B34" s="2" t="s">
        <v>103</v>
      </c>
      <c r="C34" s="2" t="s">
        <v>109</v>
      </c>
      <c r="D34" s="2" t="s">
        <v>163</v>
      </c>
      <c r="E34" s="2" t="s">
        <v>152</v>
      </c>
      <c r="F34" s="2" t="s">
        <v>42</v>
      </c>
      <c r="G34" s="2" t="s">
        <v>7</v>
      </c>
      <c r="H34" s="2" t="s">
        <v>43</v>
      </c>
      <c r="I34" s="3">
        <v>46279.41666666667</v>
      </c>
      <c r="J34" s="2" t="s">
        <v>10</v>
      </c>
      <c r="K34" s="2" t="s">
        <v>107</v>
      </c>
      <c r="L34" s="4">
        <v>226.13</v>
      </c>
      <c r="M34" s="5">
        <f>IF(AND(ISNUMBER(N34),ISNUMBER(L34),L34&gt;0),ROUND(N34/L34,2),"")</f>
        <v>4599.12</v>
      </c>
      <c r="N34" s="6">
        <v>1040000</v>
      </c>
      <c r="O34" s="7">
        <v>162.47440500000002</v>
      </c>
      <c r="P34" s="8">
        <f>IF(AND(ISNUMBER(N34),ISNUMBER(O34),O34&gt;0),N34/(O34*10000),"")</f>
        <v>0.6401008208031288</v>
      </c>
      <c r="Q34" s="9" t="s">
        <v>45</v>
      </c>
      <c r="R34" s="9" t="s">
        <v>164</v>
      </c>
    </row>
    <row r="35" spans="1:18" x14ac:dyDescent="0.25">
      <c r="A35" s="2" t="s">
        <v>37</v>
      </c>
      <c r="B35" s="2" t="s">
        <v>103</v>
      </c>
      <c r="C35" s="2" t="s">
        <v>109</v>
      </c>
      <c r="D35" s="2" t="s">
        <v>165</v>
      </c>
      <c r="E35" s="2" t="s">
        <v>152</v>
      </c>
      <c r="F35" s="2" t="s">
        <v>42</v>
      </c>
      <c r="G35" s="2" t="s">
        <v>7</v>
      </c>
      <c r="H35" s="2" t="s">
        <v>43</v>
      </c>
      <c r="I35" s="3">
        <v>46279.41666666667</v>
      </c>
      <c r="J35" s="2" t="s">
        <v>10</v>
      </c>
      <c r="K35" s="2" t="s">
        <v>107</v>
      </c>
      <c r="L35" s="4">
        <v>143.14</v>
      </c>
      <c r="M35" s="5">
        <f>IF(AND(ISNUMBER(N35),ISNUMBER(L35),L35&gt;0),ROUND(N35/L35,2),"")</f>
        <v>5533.04</v>
      </c>
      <c r="N35" s="6">
        <v>792000</v>
      </c>
      <c r="O35" s="7">
        <v>122.914318</v>
      </c>
      <c r="P35" s="8">
        <f>IF(AND(ISNUMBER(N35),ISNUMBER(O35),O35&gt;0),N35/(O35*10000),"")</f>
        <v>0.6443512951843414</v>
      </c>
      <c r="Q35" s="9" t="s">
        <v>45</v>
      </c>
      <c r="R35" s="9" t="s">
        <v>166</v>
      </c>
    </row>
    <row r="36" spans="1:18" x14ac:dyDescent="0.25">
      <c r="A36" s="2" t="s">
        <v>37</v>
      </c>
      <c r="B36" s="2" t="s">
        <v>103</v>
      </c>
      <c r="C36" s="2" t="s">
        <v>109</v>
      </c>
      <c r="D36" s="2" t="s">
        <v>167</v>
      </c>
      <c r="E36" s="2" t="s">
        <v>152</v>
      </c>
      <c r="F36" s="2" t="s">
        <v>42</v>
      </c>
      <c r="G36" s="2" t="s">
        <v>7</v>
      </c>
      <c r="H36" s="2" t="s">
        <v>43</v>
      </c>
      <c r="I36" s="3">
        <v>46279.41666666667</v>
      </c>
      <c r="J36" s="2" t="s">
        <v>10</v>
      </c>
      <c r="K36" s="2" t="s">
        <v>107</v>
      </c>
      <c r="L36" s="4">
        <v>143.14</v>
      </c>
      <c r="M36" s="5">
        <f>IF(AND(ISNUMBER(N36),ISNUMBER(L36),L36&gt;0),ROUND(N36/L36,2),"")</f>
        <v>5370.97</v>
      </c>
      <c r="N36" s="6">
        <v>768800</v>
      </c>
      <c r="O36" s="7">
        <v>120.123088</v>
      </c>
      <c r="P36" s="8">
        <f>IF(AND(ISNUMBER(N36),ISNUMBER(O36),O36&gt;0),N36/(O36*10000),"")</f>
        <v>0.6400101868843066</v>
      </c>
      <c r="Q36" s="9" t="s">
        <v>45</v>
      </c>
      <c r="R36" s="9" t="s">
        <v>168</v>
      </c>
    </row>
    <row r="37" spans="1:18" x14ac:dyDescent="0.25">
      <c r="A37" s="2" t="s">
        <v>37</v>
      </c>
      <c r="B37" s="2" t="s">
        <v>103</v>
      </c>
      <c r="C37" s="2" t="s">
        <v>109</v>
      </c>
      <c r="D37" s="2" t="s">
        <v>169</v>
      </c>
      <c r="E37" s="2" t="s">
        <v>170</v>
      </c>
      <c r="F37" s="2" t="s">
        <v>42</v>
      </c>
      <c r="G37" s="2" t="s">
        <v>7</v>
      </c>
      <c r="H37" s="2" t="s">
        <v>43</v>
      </c>
      <c r="I37" s="3">
        <v>46279.41666666667</v>
      </c>
      <c r="J37" s="2" t="s">
        <v>10</v>
      </c>
      <c r="K37" s="2" t="s">
        <v>107</v>
      </c>
      <c r="L37" s="4">
        <v>90.3</v>
      </c>
      <c r="M37" s="5">
        <f>IF(AND(ISNUMBER(N37),ISNUMBER(L37),L37&gt;0),ROUND(N37/L37,2),"")</f>
        <v>6821.71</v>
      </c>
      <c r="N37" s="6">
        <v>616000</v>
      </c>
      <c r="O37" s="7">
        <v>95.47901999999999</v>
      </c>
      <c r="P37" s="8">
        <f>IF(AND(ISNUMBER(N37),ISNUMBER(O37),O37&gt;0),N37/(O37*10000),"")</f>
        <v>0.6451679122806246</v>
      </c>
      <c r="Q37" s="9" t="s">
        <v>45</v>
      </c>
      <c r="R37" s="9" t="s">
        <v>171</v>
      </c>
    </row>
    <row r="38" spans="1:18" x14ac:dyDescent="0.25">
      <c r="A38" s="2" t="s">
        <v>37</v>
      </c>
      <c r="B38" s="2" t="s">
        <v>103</v>
      </c>
      <c r="C38" s="2" t="s">
        <v>109</v>
      </c>
      <c r="D38" s="2" t="s">
        <v>172</v>
      </c>
      <c r="E38" s="2" t="s">
        <v>173</v>
      </c>
      <c r="F38" s="2" t="s">
        <v>42</v>
      </c>
      <c r="G38" s="2" t="s">
        <v>7</v>
      </c>
      <c r="H38" s="2" t="s">
        <v>43</v>
      </c>
      <c r="I38" s="3">
        <v>46279.41666666667</v>
      </c>
      <c r="J38" s="2" t="s">
        <v>10</v>
      </c>
      <c r="K38" s="2" t="s">
        <v>107</v>
      </c>
      <c r="L38" s="4">
        <v>145.82</v>
      </c>
      <c r="M38" s="5">
        <f>IF(AND(ISNUMBER(N38),ISNUMBER(L38),L38&gt;0),ROUND(N38/L38,2),"")</f>
        <v>5925.11</v>
      </c>
      <c r="N38" s="6">
        <v>864000</v>
      </c>
      <c r="O38" s="7">
        <v>134.86891799999998</v>
      </c>
      <c r="P38" s="8">
        <f>IF(AND(ISNUMBER(N38),ISNUMBER(O38),O38&gt;0),N38/(O38*10000),"")</f>
        <v>0.6406220297548469</v>
      </c>
      <c r="Q38" s="9" t="s">
        <v>45</v>
      </c>
      <c r="R38" s="9" t="s">
        <v>174</v>
      </c>
    </row>
    <row r="39" spans="1:18" x14ac:dyDescent="0.25">
      <c r="A39" s="2" t="s">
        <v>37</v>
      </c>
      <c r="B39" s="2" t="s">
        <v>103</v>
      </c>
      <c r="C39" s="2" t="s">
        <v>109</v>
      </c>
      <c r="D39" s="2" t="s">
        <v>175</v>
      </c>
      <c r="E39" s="2" t="s">
        <v>152</v>
      </c>
      <c r="F39" s="2" t="s">
        <v>42</v>
      </c>
      <c r="G39" s="2" t="s">
        <v>7</v>
      </c>
      <c r="H39" s="2" t="s">
        <v>43</v>
      </c>
      <c r="I39" s="3">
        <v>46279.41666666667</v>
      </c>
      <c r="J39" s="2" t="s">
        <v>10</v>
      </c>
      <c r="K39" s="2" t="s">
        <v>107</v>
      </c>
      <c r="L39" s="4">
        <v>138.64</v>
      </c>
      <c r="M39" s="5">
        <f>IF(AND(ISNUMBER(N39),ISNUMBER(L39),L39&gt;0),ROUND(N39/L39,2),"")</f>
        <v>5025.97</v>
      </c>
      <c r="N39" s="6">
        <v>696800</v>
      </c>
      <c r="O39" s="7">
        <v>108.81853600000001</v>
      </c>
      <c r="P39" s="8">
        <f>IF(AND(ISNUMBER(N39),ISNUMBER(O39),O39&gt;0),N39/(O39*10000),"")</f>
        <v>0.6403320845999986</v>
      </c>
      <c r="Q39" s="9" t="s">
        <v>45</v>
      </c>
      <c r="R39" s="9" t="s">
        <v>176</v>
      </c>
    </row>
    <row r="40" spans="1:18" x14ac:dyDescent="0.25">
      <c r="A40" s="2" t="s">
        <v>37</v>
      </c>
      <c r="B40" s="2" t="s">
        <v>103</v>
      </c>
      <c r="C40" s="2" t="s">
        <v>109</v>
      </c>
      <c r="D40" s="2" t="s">
        <v>177</v>
      </c>
      <c r="E40" s="2" t="s">
        <v>152</v>
      </c>
      <c r="F40" s="2" t="s">
        <v>42</v>
      </c>
      <c r="G40" s="2" t="s">
        <v>7</v>
      </c>
      <c r="H40" s="2" t="s">
        <v>43</v>
      </c>
      <c r="I40" s="3">
        <v>46279.41666666667</v>
      </c>
      <c r="J40" s="2" t="s">
        <v>10</v>
      </c>
      <c r="K40" s="2" t="s">
        <v>107</v>
      </c>
      <c r="L40" s="4">
        <v>143.14</v>
      </c>
      <c r="M40" s="5">
        <f>IF(AND(ISNUMBER(N40),ISNUMBER(L40),L40&gt;0),ROUND(N40/L40,2),"")</f>
        <v>5477.16</v>
      </c>
      <c r="N40" s="6">
        <v>784000</v>
      </c>
      <c r="O40" s="7">
        <v>121.797826</v>
      </c>
      <c r="P40" s="8">
        <f>IF(AND(ISNUMBER(N40),ISNUMBER(O40),O40&gt;0),N40/(O40*10000),"")</f>
        <v>0.6436896500927693</v>
      </c>
      <c r="Q40" s="9" t="s">
        <v>45</v>
      </c>
      <c r="R40" s="9" t="s">
        <v>178</v>
      </c>
    </row>
    <row r="41" spans="1:18" x14ac:dyDescent="0.25">
      <c r="A41" s="2" t="s">
        <v>37</v>
      </c>
      <c r="B41" s="2" t="s">
        <v>103</v>
      </c>
      <c r="C41" s="2" t="s">
        <v>109</v>
      </c>
      <c r="D41" s="2" t="s">
        <v>179</v>
      </c>
      <c r="E41" s="2" t="s">
        <v>173</v>
      </c>
      <c r="F41" s="2" t="s">
        <v>42</v>
      </c>
      <c r="G41" s="2" t="s">
        <v>7</v>
      </c>
      <c r="H41" s="2" t="s">
        <v>43</v>
      </c>
      <c r="I41" s="3">
        <v>46279.41666666667</v>
      </c>
      <c r="J41" s="2" t="s">
        <v>10</v>
      </c>
      <c r="K41" s="2" t="s">
        <v>107</v>
      </c>
      <c r="L41" s="4">
        <v>141.63</v>
      </c>
      <c r="M41" s="5">
        <f>IF(AND(ISNUMBER(N41),ISNUMBER(L41),L41&gt;0),ROUND(N41/L41,2),"")</f>
        <v>6439.31</v>
      </c>
      <c r="N41" s="6">
        <v>912000</v>
      </c>
      <c r="O41" s="7">
        <v>141.686652</v>
      </c>
      <c r="P41" s="8">
        <f>IF(AND(ISNUMBER(N41),ISNUMBER(O41),O41&gt;0),N41/(O41*10000),"")</f>
        <v>0.6436739009119927</v>
      </c>
      <c r="Q41" s="9" t="s">
        <v>45</v>
      </c>
      <c r="R41" s="9" t="s">
        <v>180</v>
      </c>
    </row>
    <row r="42" spans="1:18" x14ac:dyDescent="0.25">
      <c r="A42" s="2" t="s">
        <v>37</v>
      </c>
      <c r="B42" s="2" t="s">
        <v>103</v>
      </c>
      <c r="C42" s="2" t="s">
        <v>104</v>
      </c>
      <c r="D42" s="2" t="s">
        <v>181</v>
      </c>
      <c r="E42" s="2" t="s">
        <v>182</v>
      </c>
      <c r="F42" s="2" t="s">
        <v>42</v>
      </c>
      <c r="G42" s="2" t="s">
        <v>7</v>
      </c>
      <c r="H42" s="2" t="s">
        <v>54</v>
      </c>
      <c r="I42" s="3">
        <v>46293.41666666667</v>
      </c>
      <c r="J42" s="2" t="s">
        <v>10</v>
      </c>
      <c r="K42" s="2" t="s">
        <v>125</v>
      </c>
      <c r="L42" s="4">
        <v>163.56</v>
      </c>
      <c r="M42" s="5">
        <f>IF(AND(ISNUMBER(N42),ISNUMBER(L42),L42&gt;0),ROUND(N42/L42,2),"")</f>
        <v>10084.43</v>
      </c>
      <c r="N42" s="6">
        <v>1649410</v>
      </c>
      <c r="O42" s="7">
        <v>235.63</v>
      </c>
      <c r="P42" s="8">
        <f>IF(AND(ISNUMBER(N42),ISNUMBER(O42),O42&gt;0),N42/(O42*10000),"")</f>
        <v>0.7</v>
      </c>
      <c r="Q42" s="9" t="s">
        <v>45</v>
      </c>
      <c r="R42" s="9" t="s">
        <v>183</v>
      </c>
    </row>
    <row r="43" spans="1:18" x14ac:dyDescent="0.25">
      <c r="A43" s="2" t="s">
        <v>37</v>
      </c>
      <c r="B43" s="2" t="s">
        <v>103</v>
      </c>
      <c r="C43" s="2" t="s">
        <v>109</v>
      </c>
      <c r="D43" s="2" t="s">
        <v>184</v>
      </c>
      <c r="E43" s="2" t="s">
        <v>185</v>
      </c>
      <c r="F43" s="2" t="s">
        <v>42</v>
      </c>
      <c r="G43" s="2" t="s">
        <v>7</v>
      </c>
      <c r="H43" s="2" t="s">
        <v>43</v>
      </c>
      <c r="I43" s="3">
        <v>46279.41666666667</v>
      </c>
      <c r="J43" s="2" t="s">
        <v>10</v>
      </c>
      <c r="K43" s="2" t="s">
        <v>107</v>
      </c>
      <c r="L43" s="4">
        <v>140.43</v>
      </c>
      <c r="M43" s="5">
        <f>IF(AND(ISNUMBER(N43),ISNUMBER(L43),L43&gt;0),ROUND(N43/L43,2),"")</f>
        <v>9000.93</v>
      </c>
      <c r="N43" s="6">
        <v>1264000</v>
      </c>
      <c r="O43" s="7">
        <v>196.602</v>
      </c>
      <c r="P43" s="8">
        <f>IF(AND(ISNUMBER(N43),ISNUMBER(O43),O43&gt;0),N43/(O43*10000),"")</f>
        <v>0.6429232662943408</v>
      </c>
      <c r="Q43" s="9" t="s">
        <v>45</v>
      </c>
      <c r="R43" s="9" t="s">
        <v>186</v>
      </c>
    </row>
    <row r="44" spans="1:18" x14ac:dyDescent="0.25">
      <c r="A44" s="2" t="s">
        <v>37</v>
      </c>
      <c r="B44" s="2" t="s">
        <v>103</v>
      </c>
      <c r="C44" s="2" t="s">
        <v>109</v>
      </c>
      <c r="D44" s="2" t="s">
        <v>187</v>
      </c>
      <c r="E44" s="2" t="s">
        <v>152</v>
      </c>
      <c r="F44" s="2" t="s">
        <v>42</v>
      </c>
      <c r="G44" s="2" t="s">
        <v>7</v>
      </c>
      <c r="H44" s="2" t="s">
        <v>43</v>
      </c>
      <c r="I44" s="3">
        <v>46279.41666666667</v>
      </c>
      <c r="J44" s="2" t="s">
        <v>10</v>
      </c>
      <c r="K44" s="2" t="s">
        <v>107</v>
      </c>
      <c r="L44" s="4">
        <v>138.64</v>
      </c>
      <c r="M44" s="5">
        <f>IF(AND(ISNUMBER(N44),ISNUMBER(L44),L44&gt;0),ROUND(N44/L44,2),"")</f>
        <v>5020.2</v>
      </c>
      <c r="N44" s="6">
        <v>696000</v>
      </c>
      <c r="O44" s="7">
        <v>108.27784</v>
      </c>
      <c r="P44" s="8">
        <f>IF(AND(ISNUMBER(N44),ISNUMBER(O44),O44&gt;0),N44/(O44*10000),"")</f>
        <v>0.6427908055794243</v>
      </c>
      <c r="Q44" s="9" t="s">
        <v>45</v>
      </c>
      <c r="R44" s="9" t="s">
        <v>188</v>
      </c>
    </row>
    <row r="45" spans="1:18" x14ac:dyDescent="0.25">
      <c r="A45" s="2" t="s">
        <v>37</v>
      </c>
      <c r="B45" s="2" t="s">
        <v>103</v>
      </c>
      <c r="C45" s="2" t="s">
        <v>109</v>
      </c>
      <c r="D45" s="2" t="s">
        <v>189</v>
      </c>
      <c r="E45" s="2" t="s">
        <v>173</v>
      </c>
      <c r="F45" s="2" t="s">
        <v>42</v>
      </c>
      <c r="G45" s="2" t="s">
        <v>7</v>
      </c>
      <c r="H45" s="2" t="s">
        <v>43</v>
      </c>
      <c r="I45" s="3">
        <v>46279.41666666667</v>
      </c>
      <c r="J45" s="2" t="s">
        <v>10</v>
      </c>
      <c r="K45" s="2" t="s">
        <v>107</v>
      </c>
      <c r="L45" s="4">
        <v>141.63</v>
      </c>
      <c r="M45" s="5">
        <f>IF(AND(ISNUMBER(N45),ISNUMBER(L45),L45&gt;0),ROUND(N45/L45,2),"")</f>
        <v>6439.31</v>
      </c>
      <c r="N45" s="6">
        <v>912000</v>
      </c>
      <c r="O45" s="7">
        <v>141.686652</v>
      </c>
      <c r="P45" s="8">
        <f>IF(AND(ISNUMBER(N45),ISNUMBER(O45),O45&gt;0),N45/(O45*10000),"")</f>
        <v>0.6436739009119927</v>
      </c>
      <c r="Q45" s="9" t="s">
        <v>45</v>
      </c>
      <c r="R45" s="9" t="s">
        <v>190</v>
      </c>
    </row>
    <row r="46" spans="1:18" x14ac:dyDescent="0.25">
      <c r="A46" s="2" t="s">
        <v>37</v>
      </c>
      <c r="B46" s="2" t="s">
        <v>103</v>
      </c>
      <c r="C46" s="2" t="s">
        <v>109</v>
      </c>
      <c r="D46" s="2" t="s">
        <v>191</v>
      </c>
      <c r="E46" s="2" t="s">
        <v>192</v>
      </c>
      <c r="F46" s="2" t="s">
        <v>42</v>
      </c>
      <c r="G46" s="2" t="s">
        <v>7</v>
      </c>
      <c r="H46" s="2" t="s">
        <v>43</v>
      </c>
      <c r="I46" s="3">
        <v>46279.41666666667</v>
      </c>
      <c r="J46" s="2" t="s">
        <v>10</v>
      </c>
      <c r="K46" s="2" t="s">
        <v>107</v>
      </c>
      <c r="L46" s="4">
        <v>173.2</v>
      </c>
      <c r="M46" s="5">
        <f>IF(AND(ISNUMBER(N46),ISNUMBER(L46),L46&gt;0),ROUND(N46/L46,2),"")</f>
        <v>7713.63</v>
      </c>
      <c r="N46" s="6">
        <v>1336000</v>
      </c>
      <c r="O46" s="7">
        <v>208.04783999999998</v>
      </c>
      <c r="P46" s="8">
        <f>IF(AND(ISNUMBER(N46),ISNUMBER(O46),O46&gt;0),N46/(O46*10000),"")</f>
        <v>0.6421599955087254</v>
      </c>
      <c r="Q46" s="9" t="s">
        <v>45</v>
      </c>
      <c r="R46" s="9" t="s">
        <v>193</v>
      </c>
    </row>
    <row r="47" spans="1:18" x14ac:dyDescent="0.25">
      <c r="A47" s="2" t="s">
        <v>37</v>
      </c>
      <c r="B47" s="2" t="s">
        <v>103</v>
      </c>
      <c r="C47" s="2" t="s">
        <v>109</v>
      </c>
      <c r="D47" s="2" t="s">
        <v>194</v>
      </c>
      <c r="E47" s="2" t="s">
        <v>152</v>
      </c>
      <c r="F47" s="2" t="s">
        <v>42</v>
      </c>
      <c r="G47" s="2" t="s">
        <v>7</v>
      </c>
      <c r="H47" s="2" t="s">
        <v>43</v>
      </c>
      <c r="I47" s="3">
        <v>46279.41666666667</v>
      </c>
      <c r="J47" s="2" t="s">
        <v>10</v>
      </c>
      <c r="K47" s="2" t="s">
        <v>107</v>
      </c>
      <c r="L47" s="4">
        <v>143.74</v>
      </c>
      <c r="M47" s="5">
        <f>IF(AND(ISNUMBER(N47),ISNUMBER(L47),L47&gt;0),ROUND(N47/L47,2),"")</f>
        <v>5398.64</v>
      </c>
      <c r="N47" s="6">
        <v>776000</v>
      </c>
      <c r="O47" s="7">
        <v>121.18719399999999</v>
      </c>
      <c r="P47" s="8">
        <f>IF(AND(ISNUMBER(N47),ISNUMBER(O47),O47&gt;0),N47/(O47*10000),"")</f>
        <v>0.6403316838906263</v>
      </c>
      <c r="Q47" s="9" t="s">
        <v>45</v>
      </c>
      <c r="R47" s="9" t="s">
        <v>195</v>
      </c>
    </row>
    <row r="48" spans="1:18" x14ac:dyDescent="0.25">
      <c r="A48" s="2" t="s">
        <v>37</v>
      </c>
      <c r="B48" s="2" t="s">
        <v>103</v>
      </c>
      <c r="C48" s="2" t="s">
        <v>109</v>
      </c>
      <c r="D48" s="2" t="s">
        <v>196</v>
      </c>
      <c r="E48" s="2" t="s">
        <v>152</v>
      </c>
      <c r="F48" s="2" t="s">
        <v>42</v>
      </c>
      <c r="G48" s="2" t="s">
        <v>7</v>
      </c>
      <c r="H48" s="2" t="s">
        <v>43</v>
      </c>
      <c r="I48" s="3">
        <v>46279.41666666667</v>
      </c>
      <c r="J48" s="2" t="s">
        <v>10</v>
      </c>
      <c r="K48" s="2" t="s">
        <v>107</v>
      </c>
      <c r="L48" s="4">
        <v>143.14</v>
      </c>
      <c r="M48" s="5">
        <f>IF(AND(ISNUMBER(N48),ISNUMBER(L48),L48&gt;0),ROUND(N48/L48,2),"")</f>
        <v>5477.16</v>
      </c>
      <c r="N48" s="6">
        <v>784000</v>
      </c>
      <c r="O48" s="7">
        <v>122.37038600000001</v>
      </c>
      <c r="P48" s="8">
        <f>IF(AND(ISNUMBER(N48),ISNUMBER(O48),O48&gt;0),N48/(O48*10000),"")</f>
        <v>0.6406778842717714</v>
      </c>
      <c r="Q48" s="9" t="s">
        <v>45</v>
      </c>
      <c r="R48" s="9" t="s">
        <v>197</v>
      </c>
    </row>
  </sheetData>
  <autoFilter ref="A1:R48"/>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46"/>
  <sheetViews>
    <sheetView workbookViewId="0" showGridLines="0">
      <pane xSplit="3" ySplit="1" topLeftCell="D2" activePane="bottomRight" state="frozen"/>
      <selection pane="bottomRight"/>
    </sheetView>
  </sheetViews>
  <sheetFormatPr defaultRowHeight="15" outlineLevelRow="0" outlineLevelCol="0" x14ac:dyDescent="55"/>
  <cols>
    <col min="1" max="2" width="10" customWidth="1"/>
    <col min="3" max="3" width="11" customWidth="1"/>
    <col min="4" max="4" width="42" customWidth="1"/>
    <col min="5" max="5" width="24" customWidth="1"/>
    <col min="6" max="6" width="10" customWidth="1"/>
    <col min="7" max="7" width="11" customWidth="1"/>
    <col min="8" max="8" width="10" customWidth="1"/>
    <col min="9" max="9" width="11" customWidth="1"/>
    <col min="10" max="10" width="14" customWidth="1"/>
    <col min="11" max="11" width="23" customWidth="1"/>
    <col min="12" max="12" width="12" customWidth="1"/>
    <col min="13" max="13" width="16" customWidth="1"/>
    <col min="14" max="14" width="14" customWidth="1"/>
    <col min="15" max="15" width="15" customWidth="1"/>
    <col min="16" max="16" width="12" customWidth="1"/>
    <col min="17" max="17" width="14" customWidth="1"/>
    <col min="18" max="18" width="12" customWidth="1"/>
    <col min="19" max="19" width="14" customWidth="1"/>
    <col min="20" max="21" width="12" customWidth="1"/>
    <col min="22" max="22" width="32" customWidth="1"/>
    <col min="23" max="23" width="48" customWidth="1"/>
  </cols>
  <sheetData>
    <row r="1" ht="28" customHeight="1" spans="1:23" x14ac:dyDescent="0.25">
      <c r="A1" s="1" t="s">
        <v>19</v>
      </c>
      <c r="B1" s="1" t="s">
        <v>20</v>
      </c>
      <c r="C1" s="1" t="s">
        <v>21</v>
      </c>
      <c r="D1" s="1" t="s">
        <v>22</v>
      </c>
      <c r="E1" s="1" t="s">
        <v>23</v>
      </c>
      <c r="F1" s="1" t="s">
        <v>24</v>
      </c>
      <c r="G1" s="1" t="s">
        <v>25</v>
      </c>
      <c r="H1" s="1" t="s">
        <v>26</v>
      </c>
      <c r="I1" s="1" t="s">
        <v>27</v>
      </c>
      <c r="J1" s="1" t="s">
        <v>28</v>
      </c>
      <c r="K1" s="1" t="s">
        <v>29</v>
      </c>
      <c r="L1" s="1" t="s">
        <v>30</v>
      </c>
      <c r="M1" s="1" t="s">
        <v>31</v>
      </c>
      <c r="N1" s="1" t="s">
        <v>32</v>
      </c>
      <c r="O1" s="1" t="s">
        <v>33</v>
      </c>
      <c r="P1" s="1" t="s">
        <v>34</v>
      </c>
      <c r="Q1" s="1" t="s">
        <v>198</v>
      </c>
      <c r="R1" s="1" t="s">
        <v>199</v>
      </c>
      <c r="S1" s="1" t="s">
        <v>200</v>
      </c>
      <c r="T1" s="1" t="s">
        <v>201</v>
      </c>
      <c r="U1" s="1" t="s">
        <v>202</v>
      </c>
      <c r="V1" s="1" t="s">
        <v>35</v>
      </c>
      <c r="W1" s="1" t="s">
        <v>36</v>
      </c>
    </row>
    <row r="2" spans="1:23" x14ac:dyDescent="0.25">
      <c r="A2" s="2" t="s">
        <v>37</v>
      </c>
      <c r="B2" s="2" t="s">
        <v>38</v>
      </c>
      <c r="C2" s="2" t="s">
        <v>97</v>
      </c>
      <c r="D2" s="2" t="s">
        <v>203</v>
      </c>
      <c r="E2" s="2" t="s">
        <v>204</v>
      </c>
      <c r="F2" s="2" t="s">
        <v>42</v>
      </c>
      <c r="G2" s="2" t="s">
        <v>7</v>
      </c>
      <c r="H2" s="2" t="s">
        <v>43</v>
      </c>
      <c r="I2" s="3">
        <v>43488.41666666667</v>
      </c>
      <c r="J2" s="2" t="s">
        <v>205</v>
      </c>
      <c r="K2" s="2" t="s">
        <v>206</v>
      </c>
      <c r="L2" s="4">
        <v>197.29</v>
      </c>
      <c r="M2" s="5">
        <f>IF(AND(ISNUMBER(N2),ISNUMBER(L2),L2&gt;0),ROUND(N2/L2,2),"")</f>
        <v>17248.03</v>
      </c>
      <c r="N2" s="6">
        <v>3402864</v>
      </c>
      <c r="O2" s="7">
        <v>607.6532</v>
      </c>
      <c r="P2" s="8">
        <f>IF(AND(ISNUMBER(N2),ISNUMBER(O2),O2&gt;0),N2/(O2*10000),"")</f>
        <v>0.5600010005707202</v>
      </c>
      <c r="Q2" s="6">
        <v>4122864</v>
      </c>
      <c r="R2" s="8">
        <f>IF(AND(ISNUMBER(Q2),ISNUMBER(N2),N2&gt;0),(Q2-N2)/N2,"")</f>
        <v>0.21158647539249292</v>
      </c>
      <c r="S2" s="5">
        <f>IF(AND(ISNUMBER(Q2),ISNUMBER(L2),L2&gt;0),ROUND(Q2/L2,2),"")</f>
        <v>20897.48</v>
      </c>
      <c r="T2" s="6">
        <v>22</v>
      </c>
      <c r="U2" s="6">
        <v>7</v>
      </c>
      <c r="V2" s="9" t="s">
        <v>45</v>
      </c>
      <c r="W2" s="9" t="s">
        <v>207</v>
      </c>
    </row>
    <row r="3" spans="1:23" x14ac:dyDescent="0.25">
      <c r="A3" s="2" t="s">
        <v>37</v>
      </c>
      <c r="B3" s="2" t="s">
        <v>38</v>
      </c>
      <c r="C3" s="2" t="s">
        <v>47</v>
      </c>
      <c r="D3" s="2" t="s">
        <v>208</v>
      </c>
      <c r="E3" s="2" t="s">
        <v>209</v>
      </c>
      <c r="F3" s="2" t="s">
        <v>42</v>
      </c>
      <c r="G3" s="2" t="s">
        <v>7</v>
      </c>
      <c r="H3" s="2" t="s">
        <v>54</v>
      </c>
      <c r="I3" s="3">
        <v>43690.41666666667</v>
      </c>
      <c r="J3" s="2" t="s">
        <v>205</v>
      </c>
      <c r="K3" s="2" t="s">
        <v>210</v>
      </c>
      <c r="L3" s="4">
        <v>229.36</v>
      </c>
      <c r="M3" s="5">
        <f>IF(AND(ISNUMBER(N3),ISNUMBER(L3),L3&gt;0),ROUND(N3/L3,2),"")</f>
        <v>10651.68</v>
      </c>
      <c r="N3" s="6">
        <v>2443069</v>
      </c>
      <c r="O3" s="7">
        <v>349.009776</v>
      </c>
      <c r="P3" s="8">
        <f>IF(AND(ISNUMBER(N3),ISNUMBER(O3),O3&gt;0),N3/(O3*10000),"")</f>
        <v>0.7000001627461576</v>
      </c>
      <c r="Q3" s="6">
        <v>2863069</v>
      </c>
      <c r="R3" s="8">
        <f>IF(AND(ISNUMBER(Q3),ISNUMBER(N3),N3&gt;0),(Q3-N3)/N3,"")</f>
        <v>0.1719149152152477</v>
      </c>
      <c r="S3" s="5">
        <f>IF(AND(ISNUMBER(Q3),ISNUMBER(L3),L3&gt;0),ROUND(Q3/L3,2),"")</f>
        <v>12482.86</v>
      </c>
      <c r="T3" s="6">
        <v>40</v>
      </c>
      <c r="U3" s="6">
        <v>5</v>
      </c>
      <c r="V3" s="9" t="s">
        <v>45</v>
      </c>
      <c r="W3" s="9" t="s">
        <v>211</v>
      </c>
    </row>
    <row r="4" spans="1:23" x14ac:dyDescent="0.25">
      <c r="A4" s="2" t="s">
        <v>37</v>
      </c>
      <c r="B4" s="2" t="s">
        <v>38</v>
      </c>
      <c r="C4" s="2" t="s">
        <v>60</v>
      </c>
      <c r="D4" s="2" t="s">
        <v>212</v>
      </c>
      <c r="E4" s="2" t="s">
        <v>53</v>
      </c>
      <c r="F4" s="2" t="s">
        <v>42</v>
      </c>
      <c r="G4" s="2" t="s">
        <v>7</v>
      </c>
      <c r="H4" s="2" t="s">
        <v>43</v>
      </c>
      <c r="I4" s="3">
        <v>43695.41666666667</v>
      </c>
      <c r="J4" s="2" t="s">
        <v>205</v>
      </c>
      <c r="K4" s="2" t="s">
        <v>213</v>
      </c>
      <c r="L4" s="4">
        <v>156.91</v>
      </c>
      <c r="M4" s="5">
        <f>IF(AND(ISNUMBER(N4),ISNUMBER(L4),L4&gt;0),ROUND(N4/L4,2),"")</f>
        <v>10196.93</v>
      </c>
      <c r="N4" s="6">
        <v>1600000</v>
      </c>
      <c r="O4" s="7">
        <v>284.43</v>
      </c>
      <c r="P4" s="8">
        <f>IF(AND(ISNUMBER(N4),ISNUMBER(O4),O4&gt;0),N4/(O4*10000),"")</f>
        <v>0.5625285659037373</v>
      </c>
      <c r="Q4" s="6">
        <v>1955000</v>
      </c>
      <c r="R4" s="8">
        <f>IF(AND(ISNUMBER(Q4),ISNUMBER(N4),N4&gt;0),(Q4-N4)/N4,"")</f>
        <v>0.221875</v>
      </c>
      <c r="S4" s="5">
        <f>IF(AND(ISNUMBER(Q4),ISNUMBER(L4),L4&gt;0),ROUND(Q4/L4,2),"")</f>
        <v>12459.37</v>
      </c>
      <c r="T4" s="6">
        <v>72</v>
      </c>
      <c r="U4" s="6">
        <v>4</v>
      </c>
      <c r="V4" s="9" t="s">
        <v>45</v>
      </c>
      <c r="W4" s="9" t="s">
        <v>214</v>
      </c>
    </row>
    <row r="5" spans="1:23" x14ac:dyDescent="0.25">
      <c r="A5" s="2" t="s">
        <v>37</v>
      </c>
      <c r="B5" s="2" t="s">
        <v>38</v>
      </c>
      <c r="C5" s="2" t="s">
        <v>97</v>
      </c>
      <c r="D5" s="2" t="s">
        <v>215</v>
      </c>
      <c r="E5" s="2" t="s">
        <v>53</v>
      </c>
      <c r="F5" s="2" t="s">
        <v>42</v>
      </c>
      <c r="G5" s="2" t="s">
        <v>7</v>
      </c>
      <c r="H5" s="2" t="s">
        <v>54</v>
      </c>
      <c r="I5" s="3">
        <v>43816.41666666667</v>
      </c>
      <c r="J5" s="2" t="s">
        <v>205</v>
      </c>
      <c r="K5" s="2" t="s">
        <v>130</v>
      </c>
      <c r="L5" s="4">
        <v>20.78</v>
      </c>
      <c r="M5" s="5">
        <f>IF(AND(ISNUMBER(N5),ISNUMBER(L5),L5&gt;0),ROUND(N5/L5,2),"")</f>
        <v>103464.87</v>
      </c>
      <c r="N5" s="6">
        <v>2150000</v>
      </c>
      <c r="O5" s="7">
        <v>306.34</v>
      </c>
      <c r="P5" s="8">
        <f>IF(AND(ISNUMBER(N5),ISNUMBER(O5),O5&gt;0),N5/(O5*10000),"")</f>
        <v>0.7018345629039631</v>
      </c>
      <c r="Q5" s="6">
        <v>2150000</v>
      </c>
      <c r="R5" s="8">
        <f>IF(AND(ISNUMBER(Q5),ISNUMBER(N5),N5&gt;0),(Q5-N5)/N5,"")</f>
        <v>0</v>
      </c>
      <c r="S5" s="5">
        <f>IF(AND(ISNUMBER(Q5),ISNUMBER(L5),L5&gt;0),ROUND(Q5/L5,2),"")</f>
        <v>103464.87</v>
      </c>
      <c r="T5" s="6">
        <v>1</v>
      </c>
      <c r="U5" s="6">
        <v>2</v>
      </c>
      <c r="V5" s="9" t="s">
        <v>45</v>
      </c>
      <c r="W5" s="9" t="s">
        <v>216</v>
      </c>
    </row>
    <row r="6" spans="1:23" x14ac:dyDescent="0.25">
      <c r="A6" s="2" t="s">
        <v>37</v>
      </c>
      <c r="B6" s="2" t="s">
        <v>38</v>
      </c>
      <c r="C6" s="2" t="s">
        <v>217</v>
      </c>
      <c r="D6" s="2" t="s">
        <v>218</v>
      </c>
      <c r="E6" s="2" t="s">
        <v>53</v>
      </c>
      <c r="F6" s="2" t="s">
        <v>42</v>
      </c>
      <c r="G6" s="2" t="s">
        <v>7</v>
      </c>
      <c r="H6" s="2" t="s">
        <v>43</v>
      </c>
      <c r="I6" s="3">
        <v>43879.41666666667</v>
      </c>
      <c r="J6" s="2" t="s">
        <v>205</v>
      </c>
      <c r="K6" s="2" t="s">
        <v>219</v>
      </c>
      <c r="L6" s="4">
        <v>134.27</v>
      </c>
      <c r="M6" s="5">
        <f>IF(AND(ISNUMBER(N6),ISNUMBER(L6),L6&gt;0),ROUND(N6/L6,2),"")</f>
        <v>2830.12</v>
      </c>
      <c r="N6" s="6">
        <v>380000</v>
      </c>
      <c r="O6" s="7">
        <v>55.95</v>
      </c>
      <c r="P6" s="8">
        <f>IF(AND(ISNUMBER(N6),ISNUMBER(O6),O6&gt;0),N6/(O6*10000),"")</f>
        <v>0.6791778373547811</v>
      </c>
      <c r="Q6" s="6">
        <v>380000</v>
      </c>
      <c r="R6" s="8">
        <f>IF(AND(ISNUMBER(Q6),ISNUMBER(N6),N6&gt;0),(Q6-N6)/N6,"")</f>
        <v>0</v>
      </c>
      <c r="S6" s="5">
        <f>IF(AND(ISNUMBER(Q6),ISNUMBER(L6),L6&gt;0),ROUND(Q6/L6,2),"")</f>
        <v>2830.12</v>
      </c>
      <c r="T6" s="6">
        <v>1</v>
      </c>
      <c r="U6" s="6">
        <v>1</v>
      </c>
      <c r="V6" s="9" t="s">
        <v>45</v>
      </c>
      <c r="W6" s="9" t="s">
        <v>220</v>
      </c>
    </row>
    <row r="7" spans="1:23" x14ac:dyDescent="0.25">
      <c r="A7" s="2" t="s">
        <v>37</v>
      </c>
      <c r="B7" s="2" t="s">
        <v>38</v>
      </c>
      <c r="C7" s="2" t="s">
        <v>97</v>
      </c>
      <c r="D7" s="2" t="s">
        <v>221</v>
      </c>
      <c r="E7" s="2" t="s">
        <v>53</v>
      </c>
      <c r="F7" s="2" t="s">
        <v>42</v>
      </c>
      <c r="G7" s="2" t="s">
        <v>7</v>
      </c>
      <c r="H7" s="2" t="s">
        <v>43</v>
      </c>
      <c r="I7" s="3">
        <v>43941.41666666667</v>
      </c>
      <c r="J7" s="2" t="s">
        <v>205</v>
      </c>
      <c r="K7" s="2" t="s">
        <v>100</v>
      </c>
      <c r="L7" s="4">
        <v>769.05</v>
      </c>
      <c r="M7" s="5">
        <f>IF(AND(ISNUMBER(N7),ISNUMBER(L7),L7&gt;0),ROUND(N7/L7,2),"")</f>
        <v>3355.48</v>
      </c>
      <c r="N7" s="6">
        <v>2580531</v>
      </c>
      <c r="O7" s="7">
        <v>460.809</v>
      </c>
      <c r="P7" s="8">
        <f>IF(AND(ISNUMBER(N7),ISNUMBER(O7),O7&gt;0),N7/(O7*10000),"")</f>
        <v>0.5600001302057902</v>
      </c>
      <c r="Q7" s="6">
        <v>2720531</v>
      </c>
      <c r="R7" s="8">
        <f>IF(AND(ISNUMBER(Q7),ISNUMBER(N7),N7&gt;0),(Q7-N7)/N7,"")</f>
        <v>0.054252399990544584</v>
      </c>
      <c r="S7" s="5">
        <f>IF(AND(ISNUMBER(Q7),ISNUMBER(L7),L7&gt;0),ROUND(Q7/L7,2),"")</f>
        <v>3537.52</v>
      </c>
      <c r="T7" s="6">
        <v>15</v>
      </c>
      <c r="U7" s="6">
        <v>2</v>
      </c>
      <c r="V7" s="9" t="s">
        <v>45</v>
      </c>
      <c r="W7" s="9" t="s">
        <v>222</v>
      </c>
    </row>
    <row r="8" spans="1:23" x14ac:dyDescent="0.25">
      <c r="A8" s="2" t="s">
        <v>37</v>
      </c>
      <c r="B8" s="2" t="s">
        <v>38</v>
      </c>
      <c r="C8" s="2" t="s">
        <v>217</v>
      </c>
      <c r="D8" s="2" t="s">
        <v>218</v>
      </c>
      <c r="E8" s="2" t="s">
        <v>53</v>
      </c>
      <c r="F8" s="2" t="s">
        <v>42</v>
      </c>
      <c r="G8" s="2" t="s">
        <v>7</v>
      </c>
      <c r="H8" s="2" t="s">
        <v>43</v>
      </c>
      <c r="I8" s="3">
        <v>43998.41666666667</v>
      </c>
      <c r="J8" s="2" t="s">
        <v>205</v>
      </c>
      <c r="K8" s="2" t="s">
        <v>219</v>
      </c>
      <c r="L8" s="4">
        <v>134.27</v>
      </c>
      <c r="M8" s="5">
        <f>IF(AND(ISNUMBER(N8),ISNUMBER(L8),L8&gt;0),ROUND(N8/L8,2),"")</f>
        <v>2830.12</v>
      </c>
      <c r="N8" s="6">
        <v>380000</v>
      </c>
      <c r="O8" s="7">
        <v>55.95</v>
      </c>
      <c r="P8" s="8">
        <f>IF(AND(ISNUMBER(N8),ISNUMBER(O8),O8&gt;0),N8/(O8*10000),"")</f>
        <v>0.6791778373547811</v>
      </c>
      <c r="Q8" s="6">
        <v>380000</v>
      </c>
      <c r="R8" s="8">
        <f>IF(AND(ISNUMBER(Q8),ISNUMBER(N8),N8&gt;0),(Q8-N8)/N8,"")</f>
        <v>0</v>
      </c>
      <c r="S8" s="5">
        <f>IF(AND(ISNUMBER(Q8),ISNUMBER(L8),L8&gt;0),ROUND(Q8/L8,2),"")</f>
        <v>2830.12</v>
      </c>
      <c r="T8" s="6">
        <v>1</v>
      </c>
      <c r="U8" s="6">
        <v>1</v>
      </c>
      <c r="V8" s="9" t="s">
        <v>45</v>
      </c>
      <c r="W8" s="9" t="s">
        <v>223</v>
      </c>
    </row>
    <row r="9" spans="1:23" x14ac:dyDescent="0.25">
      <c r="A9" s="2" t="s">
        <v>37</v>
      </c>
      <c r="B9" s="2" t="s">
        <v>38</v>
      </c>
      <c r="C9" s="2" t="s">
        <v>47</v>
      </c>
      <c r="D9" s="2" t="s">
        <v>224</v>
      </c>
      <c r="E9" s="2" t="s">
        <v>225</v>
      </c>
      <c r="F9" s="2" t="s">
        <v>42</v>
      </c>
      <c r="G9" s="2" t="s">
        <v>7</v>
      </c>
      <c r="H9" s="2" t="s">
        <v>54</v>
      </c>
      <c r="I9" s="3">
        <v>44276.42291666666</v>
      </c>
      <c r="J9" s="2" t="s">
        <v>205</v>
      </c>
      <c r="K9" s="2" t="s">
        <v>226</v>
      </c>
      <c r="L9" s="4">
        <v>144.58</v>
      </c>
      <c r="M9" s="5">
        <f>IF(AND(ISNUMBER(N9),ISNUMBER(L9),L9&gt;0),ROUND(N9/L9,2),"")</f>
        <v>17429.8</v>
      </c>
      <c r="N9" s="6">
        <v>2520000</v>
      </c>
      <c r="O9" s="7">
        <v>359.2958</v>
      </c>
      <c r="P9" s="8">
        <f>IF(AND(ISNUMBER(N9),ISNUMBER(O9),O9&gt;0),N9/(O9*10000),"")</f>
        <v>0.7013719614868863</v>
      </c>
      <c r="Q9" s="6">
        <v>2700000</v>
      </c>
      <c r="R9" s="8">
        <f>IF(AND(ISNUMBER(Q9),ISNUMBER(N9),N9&gt;0),(Q9-N9)/N9,"")</f>
        <v>0.07142857142857142</v>
      </c>
      <c r="S9" s="5">
        <f>IF(AND(ISNUMBER(Q9),ISNUMBER(L9),L9&gt;0),ROUND(Q9/L9,2),"")</f>
        <v>18674.78</v>
      </c>
      <c r="T9" s="6">
        <v>17</v>
      </c>
      <c r="U9" s="6">
        <v>3</v>
      </c>
      <c r="V9" s="9" t="s">
        <v>45</v>
      </c>
      <c r="W9" s="9" t="s">
        <v>227</v>
      </c>
    </row>
    <row r="10" spans="1:23" x14ac:dyDescent="0.25">
      <c r="A10" s="2" t="s">
        <v>37</v>
      </c>
      <c r="B10" s="2" t="s">
        <v>38</v>
      </c>
      <c r="C10" s="2" t="s">
        <v>217</v>
      </c>
      <c r="D10" s="2" t="s">
        <v>228</v>
      </c>
      <c r="E10" s="2" t="s">
        <v>53</v>
      </c>
      <c r="F10" s="2" t="s">
        <v>42</v>
      </c>
      <c r="G10" s="2" t="s">
        <v>7</v>
      </c>
      <c r="H10" s="2" t="s">
        <v>54</v>
      </c>
      <c r="I10" s="3">
        <v>44381.447222222225</v>
      </c>
      <c r="J10" s="2" t="s">
        <v>205</v>
      </c>
      <c r="K10" s="2" t="s">
        <v>229</v>
      </c>
      <c r="L10" s="4">
        <v>183.52</v>
      </c>
      <c r="M10" s="5">
        <f>IF(AND(ISNUMBER(N10),ISNUMBER(L10),L10&gt;0),ROUND(N10/L10,2),"")</f>
        <v>5535</v>
      </c>
      <c r="N10" s="6">
        <v>1015783</v>
      </c>
      <c r="O10" s="7">
        <v>101.5783</v>
      </c>
      <c r="P10" s="8">
        <f>IF(AND(ISNUMBER(N10),ISNUMBER(O10),O10&gt;0),N10/(O10*10000),"")</f>
        <v>1</v>
      </c>
      <c r="Q10" s="6">
        <v>1280783</v>
      </c>
      <c r="R10" s="8">
        <f>IF(AND(ISNUMBER(Q10),ISNUMBER(N10),N10&gt;0),(Q10-N10)/N10,"")</f>
        <v>0.2608824916345322</v>
      </c>
      <c r="S10" s="5">
        <f>IF(AND(ISNUMBER(Q10),ISNUMBER(L10),L10&gt;0),ROUND(Q10/L10,2),"")</f>
        <v>6978.98</v>
      </c>
      <c r="T10" s="6">
        <v>97</v>
      </c>
      <c r="U10" s="6">
        <v>4</v>
      </c>
      <c r="V10" s="9" t="s">
        <v>45</v>
      </c>
      <c r="W10" s="9" t="s">
        <v>230</v>
      </c>
    </row>
    <row r="11" spans="1:23" x14ac:dyDescent="0.25">
      <c r="A11" s="2" t="s">
        <v>37</v>
      </c>
      <c r="B11" s="2" t="s">
        <v>38</v>
      </c>
      <c r="C11" s="2" t="s">
        <v>39</v>
      </c>
      <c r="D11" s="2" t="s">
        <v>231</v>
      </c>
      <c r="E11" s="2" t="s">
        <v>232</v>
      </c>
      <c r="F11" s="2" t="s">
        <v>42</v>
      </c>
      <c r="G11" s="2" t="s">
        <v>7</v>
      </c>
      <c r="H11" s="2" t="s">
        <v>54</v>
      </c>
      <c r="I11" s="3">
        <v>44398.41666666667</v>
      </c>
      <c r="J11" s="2" t="s">
        <v>205</v>
      </c>
      <c r="K11" s="2" t="s">
        <v>233</v>
      </c>
      <c r="L11" s="4">
        <v>79.57</v>
      </c>
      <c r="M11" s="5">
        <f>IF(AND(ISNUMBER(N11),ISNUMBER(L11),L11&gt;0),ROUND(N11/L11,2),"")</f>
        <v>28025.64</v>
      </c>
      <c r="N11" s="6">
        <v>2230000</v>
      </c>
      <c r="O11" s="7">
        <v>278.1</v>
      </c>
      <c r="P11" s="8">
        <f>IF(AND(ISNUMBER(N11),ISNUMBER(O11),O11&gt;0),N11/(O11*10000),"")</f>
        <v>0.8018698309960446</v>
      </c>
      <c r="Q11" s="6">
        <v>2520000</v>
      </c>
      <c r="R11" s="8">
        <f>IF(AND(ISNUMBER(Q11),ISNUMBER(N11),N11&gt;0),(Q11-N11)/N11,"")</f>
        <v>0.13004484304932734</v>
      </c>
      <c r="S11" s="5">
        <f>IF(AND(ISNUMBER(Q11),ISNUMBER(L11),L11&gt;0),ROUND(Q11/L11,2),"")</f>
        <v>31670.23</v>
      </c>
      <c r="T11" s="6">
        <v>30</v>
      </c>
      <c r="U11" s="6">
        <v>2</v>
      </c>
      <c r="V11" s="9" t="s">
        <v>45</v>
      </c>
      <c r="W11" s="9" t="s">
        <v>234</v>
      </c>
    </row>
    <row r="12" spans="1:23" x14ac:dyDescent="0.25">
      <c r="A12" s="2" t="s">
        <v>37</v>
      </c>
      <c r="B12" s="2" t="s">
        <v>38</v>
      </c>
      <c r="C12" s="2" t="s">
        <v>217</v>
      </c>
      <c r="D12" s="2" t="s">
        <v>235</v>
      </c>
      <c r="E12" s="2" t="s">
        <v>53</v>
      </c>
      <c r="F12" s="2" t="s">
        <v>42</v>
      </c>
      <c r="G12" s="2" t="s">
        <v>7</v>
      </c>
      <c r="H12" s="2" t="s">
        <v>54</v>
      </c>
      <c r="I12" s="3">
        <v>44432.41666666667</v>
      </c>
      <c r="J12" s="2" t="s">
        <v>205</v>
      </c>
      <c r="K12" s="2" t="s">
        <v>236</v>
      </c>
      <c r="L12" s="4">
        <v>326.54</v>
      </c>
      <c r="M12" s="5">
        <f>IF(AND(ISNUMBER(N12),ISNUMBER(L12),L12&gt;0),ROUND(N12/L12,2),"")</f>
        <v>9502.54</v>
      </c>
      <c r="N12" s="6">
        <v>3102960</v>
      </c>
      <c r="O12" s="7">
        <v>443.28</v>
      </c>
      <c r="P12" s="8">
        <f>IF(AND(ISNUMBER(N12),ISNUMBER(O12),O12&gt;0),N12/(O12*10000),"")</f>
        <v>0.7</v>
      </c>
      <c r="Q12" s="6">
        <v>3102960</v>
      </c>
      <c r="R12" s="8">
        <f>IF(AND(ISNUMBER(Q12),ISNUMBER(N12),N12&gt;0),(Q12-N12)/N12,"")</f>
        <v>0</v>
      </c>
      <c r="S12" s="5">
        <f>IF(AND(ISNUMBER(Q12),ISNUMBER(L12),L12&gt;0),ROUND(Q12/L12,2),"")</f>
        <v>9502.54</v>
      </c>
      <c r="T12" s="6">
        <v>1</v>
      </c>
      <c r="U12" s="6">
        <v>1</v>
      </c>
      <c r="V12" s="9" t="s">
        <v>45</v>
      </c>
      <c r="W12" s="9" t="s">
        <v>237</v>
      </c>
    </row>
    <row r="13" spans="1:23" x14ac:dyDescent="0.25">
      <c r="A13" s="2" t="s">
        <v>37</v>
      </c>
      <c r="B13" s="2" t="s">
        <v>38</v>
      </c>
      <c r="C13" s="2" t="s">
        <v>97</v>
      </c>
      <c r="D13" s="2" t="s">
        <v>238</v>
      </c>
      <c r="E13" s="2" t="s">
        <v>239</v>
      </c>
      <c r="F13" s="2" t="s">
        <v>42</v>
      </c>
      <c r="G13" s="2" t="s">
        <v>7</v>
      </c>
      <c r="H13" s="2" t="s">
        <v>54</v>
      </c>
      <c r="I13" s="3">
        <v>44559.41666666667</v>
      </c>
      <c r="J13" s="2" t="s">
        <v>205</v>
      </c>
      <c r="K13" s="2" t="s">
        <v>206</v>
      </c>
      <c r="L13" s="4">
        <v>93.4</v>
      </c>
      <c r="M13" s="5">
        <f>IF(AND(ISNUMBER(N13),ISNUMBER(L13),L13&gt;0),ROUND(N13/L13,2),"")</f>
        <v>34353.64</v>
      </c>
      <c r="N13" s="6">
        <v>3208630</v>
      </c>
      <c r="O13" s="7">
        <v>320.863</v>
      </c>
      <c r="P13" s="8">
        <f>IF(AND(ISNUMBER(N13),ISNUMBER(O13),O13&gt;0),N13/(O13*10000),"")</f>
        <v>1</v>
      </c>
      <c r="Q13" s="6">
        <v>3728630</v>
      </c>
      <c r="R13" s="8">
        <f>IF(AND(ISNUMBER(Q13),ISNUMBER(N13),N13&gt;0),(Q13-N13)/N13,"")</f>
        <v>0.16206293651807782</v>
      </c>
      <c r="S13" s="5">
        <f>IF(AND(ISNUMBER(Q13),ISNUMBER(L13),L13&gt;0),ROUND(Q13/L13,2),"")</f>
        <v>39921.09</v>
      </c>
      <c r="T13" s="6">
        <v>66</v>
      </c>
      <c r="U13" s="6">
        <v>2</v>
      </c>
      <c r="V13" s="9" t="s">
        <v>45</v>
      </c>
      <c r="W13" s="9" t="s">
        <v>240</v>
      </c>
    </row>
    <row r="14" spans="1:23" x14ac:dyDescent="0.25">
      <c r="A14" s="2" t="s">
        <v>37</v>
      </c>
      <c r="B14" s="2" t="s">
        <v>38</v>
      </c>
      <c r="C14" s="2" t="s">
        <v>97</v>
      </c>
      <c r="D14" s="2" t="s">
        <v>241</v>
      </c>
      <c r="E14" s="2" t="s">
        <v>239</v>
      </c>
      <c r="F14" s="2" t="s">
        <v>42</v>
      </c>
      <c r="G14" s="2" t="s">
        <v>7</v>
      </c>
      <c r="H14" s="2" t="s">
        <v>54</v>
      </c>
      <c r="I14" s="3">
        <v>44809.41666666667</v>
      </c>
      <c r="J14" s="2" t="s">
        <v>205</v>
      </c>
      <c r="K14" s="2" t="s">
        <v>242</v>
      </c>
      <c r="L14" s="4">
        <v>121.39</v>
      </c>
      <c r="M14" s="5">
        <f>IF(AND(ISNUMBER(N14),ISNUMBER(L14),L14&gt;0),ROUND(N14/L14,2),"")</f>
        <v>30245.86</v>
      </c>
      <c r="N14" s="6">
        <v>3671545</v>
      </c>
      <c r="O14" s="7">
        <v>407.9494</v>
      </c>
      <c r="P14" s="8">
        <f>IF(AND(ISNUMBER(N14),ISNUMBER(O14),O14&gt;0),N14/(O14*10000),"")</f>
        <v>0.9000000980513759</v>
      </c>
      <c r="Q14" s="6">
        <v>3936545</v>
      </c>
      <c r="R14" s="8">
        <f>IF(AND(ISNUMBER(Q14),ISNUMBER(N14),N14&gt;0),(Q14-N14)/N14,"")</f>
        <v>0.07217669945486165</v>
      </c>
      <c r="S14" s="5">
        <f>IF(AND(ISNUMBER(Q14),ISNUMBER(L14),L14&gt;0),ROUND(Q14/L14,2),"")</f>
        <v>32428.91</v>
      </c>
      <c r="T14" s="6">
        <v>29</v>
      </c>
      <c r="U14" s="6">
        <v>6</v>
      </c>
      <c r="V14" s="9" t="s">
        <v>45</v>
      </c>
      <c r="W14" s="9" t="s">
        <v>243</v>
      </c>
    </row>
    <row r="15" spans="1:23" x14ac:dyDescent="0.25">
      <c r="A15" s="2" t="s">
        <v>37</v>
      </c>
      <c r="B15" s="2" t="s">
        <v>38</v>
      </c>
      <c r="C15" s="2" t="s">
        <v>39</v>
      </c>
      <c r="D15" s="2" t="s">
        <v>244</v>
      </c>
      <c r="E15" s="2" t="s">
        <v>245</v>
      </c>
      <c r="F15" s="2" t="s">
        <v>42</v>
      </c>
      <c r="G15" s="2" t="s">
        <v>7</v>
      </c>
      <c r="H15" s="2" t="s">
        <v>43</v>
      </c>
      <c r="I15" s="3">
        <v>44843.41666666667</v>
      </c>
      <c r="J15" s="2" t="s">
        <v>205</v>
      </c>
      <c r="K15" s="2" t="s">
        <v>246</v>
      </c>
      <c r="L15" s="4">
        <v>161.05</v>
      </c>
      <c r="M15" s="5">
        <f>IF(AND(ISNUMBER(N15),ISNUMBER(L15),L15&gt;0),ROUND(N15/L15,2),"")</f>
        <v>13482.4</v>
      </c>
      <c r="N15" s="6">
        <v>2171339.95</v>
      </c>
      <c r="O15" s="7">
        <v>339.271867</v>
      </c>
      <c r="P15" s="8">
        <f>IF(AND(ISNUMBER(N15),ISNUMBER(O15),O15&gt;0),N15/(O15*10000),"")</f>
        <v>0.6400000003536988</v>
      </c>
      <c r="Q15" s="6">
        <v>2171339.95</v>
      </c>
      <c r="R15" s="8">
        <f>IF(AND(ISNUMBER(Q15),ISNUMBER(N15),N15&gt;0),(Q15-N15)/N15,"")</f>
        <v>0</v>
      </c>
      <c r="S15" s="5">
        <f>IF(AND(ISNUMBER(Q15),ISNUMBER(L15),L15&gt;0),ROUND(Q15/L15,2),"")</f>
        <v>13482.4</v>
      </c>
      <c r="T15" s="6">
        <v>1</v>
      </c>
      <c r="U15" s="6">
        <v>1</v>
      </c>
      <c r="V15" s="9" t="s">
        <v>45</v>
      </c>
      <c r="W15" s="9" t="s">
        <v>247</v>
      </c>
    </row>
    <row r="16" spans="1:23" x14ac:dyDescent="0.25">
      <c r="A16" s="2" t="s">
        <v>37</v>
      </c>
      <c r="B16" s="2" t="s">
        <v>38</v>
      </c>
      <c r="C16" s="2" t="s">
        <v>75</v>
      </c>
      <c r="D16" s="2" t="s">
        <v>248</v>
      </c>
      <c r="E16" s="2" t="s">
        <v>249</v>
      </c>
      <c r="F16" s="2" t="s">
        <v>42</v>
      </c>
      <c r="G16" s="2" t="s">
        <v>7</v>
      </c>
      <c r="H16" s="2" t="s">
        <v>54</v>
      </c>
      <c r="I16" s="3">
        <v>44885.41666666667</v>
      </c>
      <c r="J16" s="2" t="s">
        <v>205</v>
      </c>
      <c r="K16" s="2" t="s">
        <v>250</v>
      </c>
      <c r="L16" s="4">
        <v>112.43</v>
      </c>
      <c r="M16" s="5">
        <f>IF(AND(ISNUMBER(N16),ISNUMBER(L16),L16&gt;0),ROUND(N16/L16,2),"")</f>
        <v>25497.12</v>
      </c>
      <c r="N16" s="6">
        <v>2866640.7</v>
      </c>
      <c r="O16" s="7">
        <v>409.5201</v>
      </c>
      <c r="P16" s="8">
        <f>IF(AND(ISNUMBER(N16),ISNUMBER(O16),O16&gt;0),N16/(O16*10000),"")</f>
        <v>0.7000000000000001</v>
      </c>
      <c r="Q16" s="6">
        <v>4350640.7</v>
      </c>
      <c r="R16" s="8">
        <f>IF(AND(ISNUMBER(Q16),ISNUMBER(N16),N16&gt;0),(Q16-N16)/N16,"")</f>
        <v>0.517679107814244</v>
      </c>
      <c r="S16" s="5">
        <f>IF(AND(ISNUMBER(Q16),ISNUMBER(L16),L16&gt;0),ROUND(Q16/L16,2),"")</f>
        <v>38696.44</v>
      </c>
      <c r="T16" s="6">
        <v>27</v>
      </c>
      <c r="U16" s="6">
        <v>10</v>
      </c>
      <c r="V16" s="9" t="s">
        <v>45</v>
      </c>
      <c r="W16" s="9" t="s">
        <v>251</v>
      </c>
    </row>
    <row r="17" spans="1:23" x14ac:dyDescent="0.25">
      <c r="A17" s="2" t="s">
        <v>37</v>
      </c>
      <c r="B17" s="2" t="s">
        <v>38</v>
      </c>
      <c r="C17" s="2" t="s">
        <v>75</v>
      </c>
      <c r="D17" s="2" t="s">
        <v>252</v>
      </c>
      <c r="E17" s="2" t="s">
        <v>253</v>
      </c>
      <c r="F17" s="2" t="s">
        <v>42</v>
      </c>
      <c r="G17" s="2" t="s">
        <v>7</v>
      </c>
      <c r="H17" s="2" t="s">
        <v>54</v>
      </c>
      <c r="I17" s="3">
        <v>46264.41666666667</v>
      </c>
      <c r="J17" s="2" t="s">
        <v>205</v>
      </c>
      <c r="K17" s="2" t="s">
        <v>55</v>
      </c>
      <c r="L17" s="4">
        <v>166.01</v>
      </c>
      <c r="M17" s="5">
        <f>IF(AND(ISNUMBER(N17),ISNUMBER(L17),L17&gt;0),ROUND(N17/L17,2),"")</f>
        <v>10717.88</v>
      </c>
      <c r="N17" s="6">
        <v>1779276</v>
      </c>
      <c r="O17" s="7">
        <v>222.40949300000003</v>
      </c>
      <c r="P17" s="8">
        <f>IF(AND(ISNUMBER(N17),ISNUMBER(O17),O17&gt;0),N17/(O17*10000),"")</f>
        <v>0.8000000251787813</v>
      </c>
      <c r="Q17" s="6">
        <v>3548076</v>
      </c>
      <c r="R17" s="8">
        <f>IF(AND(ISNUMBER(Q17),ISNUMBER(N17),N17&gt;0),(Q17-N17)/N17,"")</f>
        <v>0.9941122119333932</v>
      </c>
      <c r="S17" s="5">
        <f>IF(AND(ISNUMBER(Q17),ISNUMBER(L17),L17&gt;0),ROUND(Q17/L17,2),"")</f>
        <v>21372.66</v>
      </c>
      <c r="T17" s="6">
        <v>45</v>
      </c>
      <c r="U17" s="6">
        <v>12</v>
      </c>
      <c r="V17" s="9" t="s">
        <v>45</v>
      </c>
      <c r="W17" s="9" t="s">
        <v>254</v>
      </c>
    </row>
    <row r="18" spans="1:23" x14ac:dyDescent="0.25">
      <c r="A18" s="2" t="s">
        <v>37</v>
      </c>
      <c r="B18" s="2" t="s">
        <v>38</v>
      </c>
      <c r="C18" s="2" t="s">
        <v>51</v>
      </c>
      <c r="D18" s="2" t="s">
        <v>255</v>
      </c>
      <c r="E18" s="2" t="s">
        <v>53</v>
      </c>
      <c r="F18" s="2" t="s">
        <v>42</v>
      </c>
      <c r="G18" s="2" t="s">
        <v>7</v>
      </c>
      <c r="H18" s="2" t="s">
        <v>54</v>
      </c>
      <c r="I18" s="3">
        <v>46264.41666666667</v>
      </c>
      <c r="J18" s="2" t="s">
        <v>205</v>
      </c>
      <c r="K18" s="2" t="s">
        <v>55</v>
      </c>
      <c r="L18" s="4">
        <v>655.95</v>
      </c>
      <c r="M18" s="5">
        <f>IF(AND(ISNUMBER(N18),ISNUMBER(L18),L18&gt;0),ROUND(N18/L18,2),"")</f>
        <v>6521.9</v>
      </c>
      <c r="N18" s="6">
        <v>4278041</v>
      </c>
      <c r="O18" s="7">
        <v>611.1486</v>
      </c>
      <c r="P18" s="8">
        <f>IF(AND(ISNUMBER(N18),ISNUMBER(O18),O18&gt;0),N18/(O18*10000),"")</f>
        <v>0.7000001309010607</v>
      </c>
      <c r="Q18" s="6">
        <v>4278041</v>
      </c>
      <c r="R18" s="8">
        <f>IF(AND(ISNUMBER(Q18),ISNUMBER(N18),N18&gt;0),(Q18-N18)/N18,"")</f>
        <v>0</v>
      </c>
      <c r="S18" s="5">
        <f>IF(AND(ISNUMBER(Q18),ISNUMBER(L18),L18&gt;0),ROUND(Q18/L18,2),"")</f>
        <v>6521.9</v>
      </c>
      <c r="T18" s="6">
        <v>1</v>
      </c>
      <c r="U18" s="6">
        <v>1</v>
      </c>
      <c r="V18" s="9" t="s">
        <v>45</v>
      </c>
      <c r="W18" s="9" t="s">
        <v>256</v>
      </c>
    </row>
    <row r="19" spans="1:23" x14ac:dyDescent="0.25">
      <c r="A19" s="2" t="s">
        <v>37</v>
      </c>
      <c r="B19" s="2" t="s">
        <v>38</v>
      </c>
      <c r="C19" s="2" t="s">
        <v>47</v>
      </c>
      <c r="D19" s="2" t="s">
        <v>257</v>
      </c>
      <c r="E19" s="2" t="s">
        <v>258</v>
      </c>
      <c r="F19" s="2" t="s">
        <v>42</v>
      </c>
      <c r="G19" s="2" t="s">
        <v>7</v>
      </c>
      <c r="H19" s="2" t="s">
        <v>54</v>
      </c>
      <c r="I19" s="3">
        <v>46263.41666666667</v>
      </c>
      <c r="J19" s="2" t="s">
        <v>205</v>
      </c>
      <c r="K19" s="2" t="s">
        <v>44</v>
      </c>
      <c r="L19" s="4">
        <v>141.82</v>
      </c>
      <c r="M19" s="5">
        <f>IF(AND(ISNUMBER(N19),ISNUMBER(L19),L19&gt;0),ROUND(N19/L19,2),"")</f>
        <v>8461.43</v>
      </c>
      <c r="N19" s="6">
        <v>1200000</v>
      </c>
      <c r="O19" s="7">
        <v>170.184</v>
      </c>
      <c r="P19" s="8">
        <f>IF(AND(ISNUMBER(N19),ISNUMBER(O19),O19&gt;0),N19/(O19*10000),"")</f>
        <v>0.7051191651389085</v>
      </c>
      <c r="Q19" s="6">
        <v>2148000</v>
      </c>
      <c r="R19" s="8">
        <f>IF(AND(ISNUMBER(Q19),ISNUMBER(N19),N19&gt;0),(Q19-N19)/N19,"")</f>
        <v>0.79</v>
      </c>
      <c r="S19" s="5">
        <f>IF(AND(ISNUMBER(Q19),ISNUMBER(L19),L19&gt;0),ROUND(Q19/L19,2),"")</f>
        <v>15145.96</v>
      </c>
      <c r="T19" s="6">
        <v>24</v>
      </c>
      <c r="U19" s="6">
        <v>7</v>
      </c>
      <c r="V19" s="9" t="s">
        <v>45</v>
      </c>
      <c r="W19" s="9" t="s">
        <v>259</v>
      </c>
    </row>
    <row r="20" spans="1:23" x14ac:dyDescent="0.25">
      <c r="A20" s="2" t="s">
        <v>37</v>
      </c>
      <c r="B20" s="2" t="s">
        <v>38</v>
      </c>
      <c r="C20" s="2" t="s">
        <v>260</v>
      </c>
      <c r="D20" s="2" t="s">
        <v>261</v>
      </c>
      <c r="E20" s="2" t="s">
        <v>53</v>
      </c>
      <c r="F20" s="2" t="s">
        <v>42</v>
      </c>
      <c r="G20" s="2" t="s">
        <v>7</v>
      </c>
      <c r="H20" s="2" t="s">
        <v>95</v>
      </c>
      <c r="I20" s="3">
        <v>46262.68125</v>
      </c>
      <c r="J20" s="2" t="s">
        <v>205</v>
      </c>
      <c r="K20" s="2" t="s">
        <v>262</v>
      </c>
      <c r="L20" s="4">
        <v>124.92</v>
      </c>
      <c r="M20" s="5">
        <f>IF(AND(ISNUMBER(N20),ISNUMBER(L20),L20&gt;0),ROUND(N20/L20,2),"")</f>
        <v>1907.36</v>
      </c>
      <c r="N20" s="6">
        <v>238268</v>
      </c>
      <c r="O20" s="7">
        <v>42.547764</v>
      </c>
      <c r="P20" s="8">
        <f>IF(AND(ISNUMBER(N20),ISNUMBER(O20),O20&gt;0),N20/(O20*10000),"")</f>
        <v>0.5600012259163607</v>
      </c>
      <c r="Q20" s="6">
        <v>238268</v>
      </c>
      <c r="R20" s="8">
        <f>IF(AND(ISNUMBER(Q20),ISNUMBER(N20),N20&gt;0),(Q20-N20)/N20,"")</f>
        <v>0</v>
      </c>
      <c r="S20" s="5">
        <f>IF(AND(ISNUMBER(Q20),ISNUMBER(L20),L20&gt;0),ROUND(Q20/L20,2),"")</f>
        <v>1907.36</v>
      </c>
      <c r="T20" s="6">
        <v>1</v>
      </c>
      <c r="U20" s="6">
        <v>1</v>
      </c>
      <c r="V20" s="9" t="s">
        <v>45</v>
      </c>
      <c r="W20" s="9" t="s">
        <v>263</v>
      </c>
    </row>
    <row r="21" spans="1:23" x14ac:dyDescent="0.25">
      <c r="A21" s="2" t="s">
        <v>37</v>
      </c>
      <c r="B21" s="2" t="s">
        <v>38</v>
      </c>
      <c r="C21" s="2" t="s">
        <v>39</v>
      </c>
      <c r="D21" s="2" t="s">
        <v>264</v>
      </c>
      <c r="E21" s="2" t="s">
        <v>265</v>
      </c>
      <c r="F21" s="2" t="s">
        <v>42</v>
      </c>
      <c r="G21" s="2" t="s">
        <v>7</v>
      </c>
      <c r="H21" s="2" t="s">
        <v>54</v>
      </c>
      <c r="I21" s="3">
        <v>46262.41666666667</v>
      </c>
      <c r="J21" s="2" t="s">
        <v>205</v>
      </c>
      <c r="K21" s="2" t="s">
        <v>44</v>
      </c>
      <c r="L21" s="4">
        <v>88.72</v>
      </c>
      <c r="M21" s="5">
        <f>IF(AND(ISNUMBER(N21),ISNUMBER(L21),L21&gt;0),ROUND(N21/L21,2),"")</f>
        <v>9580.7</v>
      </c>
      <c r="N21" s="6">
        <v>850000</v>
      </c>
      <c r="O21" s="7">
        <v>121.32016399999999</v>
      </c>
      <c r="P21" s="8">
        <f>IF(AND(ISNUMBER(N21),ISNUMBER(O21),O21&gt;0),N21/(O21*10000),"")</f>
        <v>0.7006254953628319</v>
      </c>
      <c r="Q21" s="6">
        <v>1280000</v>
      </c>
      <c r="R21" s="8">
        <f>IF(AND(ISNUMBER(Q21),ISNUMBER(N21),N21&gt;0),(Q21-N21)/N21,"")</f>
        <v>0.5058823529411764</v>
      </c>
      <c r="S21" s="5">
        <f>IF(AND(ISNUMBER(Q21),ISNUMBER(L21),L21&gt;0),ROUND(Q21/L21,2),"")</f>
        <v>14427.41</v>
      </c>
      <c r="T21" s="6">
        <v>86</v>
      </c>
      <c r="U21" s="6">
        <v>12</v>
      </c>
      <c r="V21" s="9" t="s">
        <v>45</v>
      </c>
      <c r="W21" s="9" t="s">
        <v>266</v>
      </c>
    </row>
    <row r="22" spans="1:23" x14ac:dyDescent="0.25">
      <c r="A22" s="2" t="s">
        <v>37</v>
      </c>
      <c r="B22" s="2" t="s">
        <v>38</v>
      </c>
      <c r="C22" s="2" t="s">
        <v>51</v>
      </c>
      <c r="D22" s="2" t="s">
        <v>267</v>
      </c>
      <c r="E22" s="2" t="s">
        <v>268</v>
      </c>
      <c r="F22" s="2" t="s">
        <v>42</v>
      </c>
      <c r="G22" s="2" t="s">
        <v>7</v>
      </c>
      <c r="H22" s="2" t="s">
        <v>54</v>
      </c>
      <c r="I22" s="3">
        <v>46262.43888888889</v>
      </c>
      <c r="J22" s="2" t="s">
        <v>205</v>
      </c>
      <c r="K22" s="2" t="s">
        <v>55</v>
      </c>
      <c r="L22" s="4">
        <v>98.43</v>
      </c>
      <c r="M22" s="5">
        <f>IF(AND(ISNUMBER(N22),ISNUMBER(L22),L22&gt;0),ROUND(N22/L22,2),"")</f>
        <v>8263.31</v>
      </c>
      <c r="N22" s="6">
        <v>813358</v>
      </c>
      <c r="O22" s="7">
        <v>101.669709</v>
      </c>
      <c r="P22" s="8">
        <f>IF(AND(ISNUMBER(N22),ISNUMBER(O22),O22&gt;0),N22/(O22*10000),"")</f>
        <v>0.8000003226132968</v>
      </c>
      <c r="Q22" s="6">
        <v>929358</v>
      </c>
      <c r="R22" s="8">
        <f>IF(AND(ISNUMBER(Q22),ISNUMBER(N22),N22&gt;0),(Q22-N22)/N22,"")</f>
        <v>0.14261862550070203</v>
      </c>
      <c r="S22" s="5">
        <f>IF(AND(ISNUMBER(Q22),ISNUMBER(L22),L22&gt;0),ROUND(Q22/L22,2),"")</f>
        <v>9441.82</v>
      </c>
      <c r="T22" s="6">
        <v>30</v>
      </c>
      <c r="U22" s="6">
        <v>8</v>
      </c>
      <c r="V22" s="9" t="s">
        <v>45</v>
      </c>
      <c r="W22" s="9" t="s">
        <v>269</v>
      </c>
    </row>
    <row r="23" spans="1:23" x14ac:dyDescent="0.25">
      <c r="A23" s="2" t="s">
        <v>37</v>
      </c>
      <c r="B23" s="2" t="s">
        <v>38</v>
      </c>
      <c r="C23" s="2" t="s">
        <v>71</v>
      </c>
      <c r="D23" s="2" t="s">
        <v>270</v>
      </c>
      <c r="E23" s="2" t="s">
        <v>271</v>
      </c>
      <c r="F23" s="2" t="s">
        <v>42</v>
      </c>
      <c r="G23" s="2" t="s">
        <v>7</v>
      </c>
      <c r="H23" s="2" t="s">
        <v>54</v>
      </c>
      <c r="I23" s="3">
        <v>46262.41666666667</v>
      </c>
      <c r="J23" s="2" t="s">
        <v>205</v>
      </c>
      <c r="K23" s="2" t="s">
        <v>44</v>
      </c>
      <c r="L23" s="4">
        <v>131.24</v>
      </c>
      <c r="M23" s="5">
        <f>IF(AND(ISNUMBER(N23),ISNUMBER(L23),L23&gt;0),ROUND(N23/L23,2),"")</f>
        <v>4343.19</v>
      </c>
      <c r="N23" s="6">
        <v>570000</v>
      </c>
      <c r="O23" s="7">
        <v>80.552564</v>
      </c>
      <c r="P23" s="8">
        <f>IF(AND(ISNUMBER(N23),ISNUMBER(O23),O23&gt;0),N23/(O23*10000),"")</f>
        <v>0.7076124851842084</v>
      </c>
      <c r="Q23" s="6">
        <v>639000</v>
      </c>
      <c r="R23" s="8">
        <f>IF(AND(ISNUMBER(Q23),ISNUMBER(N23),N23&gt;0),(Q23-N23)/N23,"")</f>
        <v>0.12105263157894737</v>
      </c>
      <c r="S23" s="5">
        <f>IF(AND(ISNUMBER(Q23),ISNUMBER(L23),L23&gt;0),ROUND(Q23/L23,2),"")</f>
        <v>4868.94</v>
      </c>
      <c r="T23" s="6">
        <v>23</v>
      </c>
      <c r="U23" s="6">
        <v>3</v>
      </c>
      <c r="V23" s="9" t="s">
        <v>45</v>
      </c>
      <c r="W23" s="9" t="s">
        <v>272</v>
      </c>
    </row>
    <row r="24" spans="1:23" x14ac:dyDescent="0.25">
      <c r="A24" s="2" t="s">
        <v>37</v>
      </c>
      <c r="B24" s="2" t="s">
        <v>38</v>
      </c>
      <c r="C24" s="2" t="s">
        <v>39</v>
      </c>
      <c r="D24" s="2" t="s">
        <v>273</v>
      </c>
      <c r="E24" s="2" t="s">
        <v>274</v>
      </c>
      <c r="F24" s="2" t="s">
        <v>42</v>
      </c>
      <c r="G24" s="2" t="s">
        <v>7</v>
      </c>
      <c r="H24" s="2" t="s">
        <v>54</v>
      </c>
      <c r="I24" s="3">
        <v>46262.41666666667</v>
      </c>
      <c r="J24" s="2" t="s">
        <v>205</v>
      </c>
      <c r="K24" s="2" t="s">
        <v>44</v>
      </c>
      <c r="L24" s="4">
        <v>93.37</v>
      </c>
      <c r="M24" s="5">
        <f>IF(AND(ISNUMBER(N24),ISNUMBER(L24),L24&gt;0),ROUND(N24/L24,2),"")</f>
        <v>14458.61</v>
      </c>
      <c r="N24" s="6">
        <v>1350000</v>
      </c>
      <c r="O24" s="7">
        <v>191.856686</v>
      </c>
      <c r="P24" s="8">
        <f>IF(AND(ISNUMBER(N24),ISNUMBER(O24),O24&gt;0),N24/(O24*10000),"")</f>
        <v>0.7036502235840768</v>
      </c>
      <c r="Q24" s="6">
        <v>1830000</v>
      </c>
      <c r="R24" s="8">
        <f>IF(AND(ISNUMBER(Q24),ISNUMBER(N24),N24&gt;0),(Q24-N24)/N24,"")</f>
        <v>0.35555555555555557</v>
      </c>
      <c r="S24" s="5">
        <f>IF(AND(ISNUMBER(Q24),ISNUMBER(L24),L24&gt;0),ROUND(Q24/L24,2),"")</f>
        <v>19599.44</v>
      </c>
      <c r="T24" s="6">
        <v>88</v>
      </c>
      <c r="U24" s="6">
        <v>10</v>
      </c>
      <c r="V24" s="9" t="s">
        <v>45</v>
      </c>
      <c r="W24" s="9" t="s">
        <v>275</v>
      </c>
    </row>
    <row r="25" spans="1:23" x14ac:dyDescent="0.25">
      <c r="A25" s="2" t="s">
        <v>37</v>
      </c>
      <c r="B25" s="2" t="s">
        <v>38</v>
      </c>
      <c r="C25" s="2" t="s">
        <v>75</v>
      </c>
      <c r="D25" s="2" t="s">
        <v>276</v>
      </c>
      <c r="E25" s="2" t="s">
        <v>277</v>
      </c>
      <c r="F25" s="2" t="s">
        <v>42</v>
      </c>
      <c r="G25" s="2" t="s">
        <v>7</v>
      </c>
      <c r="H25" s="2" t="s">
        <v>54</v>
      </c>
      <c r="I25" s="3">
        <v>46262.41666666667</v>
      </c>
      <c r="J25" s="2" t="s">
        <v>205</v>
      </c>
      <c r="K25" s="2" t="s">
        <v>44</v>
      </c>
      <c r="L25" s="4">
        <v>163.14</v>
      </c>
      <c r="M25" s="5">
        <f>IF(AND(ISNUMBER(N25),ISNUMBER(L25),L25&gt;0),ROUND(N25/L25,2),"")</f>
        <v>19798.95</v>
      </c>
      <c r="N25" s="6">
        <v>3230000</v>
      </c>
      <c r="O25" s="7">
        <v>461.428572</v>
      </c>
      <c r="P25" s="8">
        <f>IF(AND(ISNUMBER(N25),ISNUMBER(O25),O25&gt;0),N25/(O25*10000),"")</f>
        <v>0.6999999991331269</v>
      </c>
      <c r="Q25" s="6">
        <v>3350000</v>
      </c>
      <c r="R25" s="8">
        <f>IF(AND(ISNUMBER(Q25),ISNUMBER(N25),N25&gt;0),(Q25-N25)/N25,"")</f>
        <v>0.03715170278637771</v>
      </c>
      <c r="S25" s="5">
        <f>IF(AND(ISNUMBER(Q25),ISNUMBER(L25),L25&gt;0),ROUND(Q25/L25,2),"")</f>
        <v>20534.51</v>
      </c>
      <c r="T25" s="6">
        <v>9</v>
      </c>
      <c r="U25" s="6">
        <v>4</v>
      </c>
      <c r="V25" s="9" t="s">
        <v>45</v>
      </c>
      <c r="W25" s="9" t="s">
        <v>278</v>
      </c>
    </row>
    <row r="26" spans="1:23" x14ac:dyDescent="0.25">
      <c r="A26" s="2" t="s">
        <v>37</v>
      </c>
      <c r="B26" s="2" t="s">
        <v>38</v>
      </c>
      <c r="C26" s="2" t="s">
        <v>39</v>
      </c>
      <c r="D26" s="2" t="s">
        <v>279</v>
      </c>
      <c r="E26" s="2" t="s">
        <v>280</v>
      </c>
      <c r="F26" s="2" t="s">
        <v>42</v>
      </c>
      <c r="G26" s="2" t="s">
        <v>7</v>
      </c>
      <c r="H26" s="2" t="s">
        <v>54</v>
      </c>
      <c r="I26" s="3">
        <v>46262.41666666667</v>
      </c>
      <c r="J26" s="2" t="s">
        <v>205</v>
      </c>
      <c r="K26" s="2" t="s">
        <v>262</v>
      </c>
      <c r="L26" s="4">
        <v>137.52</v>
      </c>
      <c r="M26" s="5">
        <f>IF(AND(ISNUMBER(N26),ISNUMBER(L26),L26&gt;0),ROUND(N26/L26,2),"")</f>
        <v>8400</v>
      </c>
      <c r="N26" s="6">
        <v>1155168</v>
      </c>
      <c r="O26" s="7">
        <v>165.024</v>
      </c>
      <c r="P26" s="8">
        <f>IF(AND(ISNUMBER(N26),ISNUMBER(O26),O26&gt;0),N26/(O26*10000),"")</f>
        <v>0.7</v>
      </c>
      <c r="Q26" s="6">
        <v>1180168</v>
      </c>
      <c r="R26" s="8">
        <f>IF(AND(ISNUMBER(Q26),ISNUMBER(N26),N26&gt;0),(Q26-N26)/N26,"")</f>
        <v>0.021641873736114575</v>
      </c>
      <c r="S26" s="5">
        <f>IF(AND(ISNUMBER(Q26),ISNUMBER(L26),L26&gt;0),ROUND(Q26/L26,2),"")</f>
        <v>8581.79</v>
      </c>
      <c r="T26" s="6">
        <v>6</v>
      </c>
      <c r="U26" s="6">
        <v>4</v>
      </c>
      <c r="V26" s="9" t="s">
        <v>45</v>
      </c>
      <c r="W26" s="9" t="s">
        <v>281</v>
      </c>
    </row>
    <row r="27" spans="1:23" x14ac:dyDescent="0.25">
      <c r="A27" s="2" t="s">
        <v>37</v>
      </c>
      <c r="B27" s="2" t="s">
        <v>38</v>
      </c>
      <c r="C27" s="2" t="s">
        <v>71</v>
      </c>
      <c r="D27" s="2" t="s">
        <v>282</v>
      </c>
      <c r="E27" s="2" t="s">
        <v>283</v>
      </c>
      <c r="F27" s="2" t="s">
        <v>42</v>
      </c>
      <c r="G27" s="2" t="s">
        <v>7</v>
      </c>
      <c r="H27" s="2" t="s">
        <v>43</v>
      </c>
      <c r="I27" s="3">
        <v>46262.41666666667</v>
      </c>
      <c r="J27" s="2" t="s">
        <v>205</v>
      </c>
      <c r="K27" s="2" t="s">
        <v>44</v>
      </c>
      <c r="L27" s="4">
        <v>94.78</v>
      </c>
      <c r="M27" s="5">
        <f>IF(AND(ISNUMBER(N27),ISNUMBER(L27),L27&gt;0),ROUND(N27/L27,2),"")</f>
        <v>7438.28</v>
      </c>
      <c r="N27" s="6">
        <v>705000</v>
      </c>
      <c r="O27" s="7">
        <v>125.50390300000001</v>
      </c>
      <c r="P27" s="8">
        <f>IF(AND(ISNUMBER(N27),ISNUMBER(O27),O27&gt;0),N27/(O27*10000),"")</f>
        <v>0.5617355182969888</v>
      </c>
      <c r="Q27" s="6">
        <v>753000</v>
      </c>
      <c r="R27" s="8">
        <f>IF(AND(ISNUMBER(Q27),ISNUMBER(N27),N27&gt;0),(Q27-N27)/N27,"")</f>
        <v>0.06808510638297872</v>
      </c>
      <c r="S27" s="5">
        <f>IF(AND(ISNUMBER(Q27),ISNUMBER(L27),L27&gt;0),ROUND(Q27/L27,2),"")</f>
        <v>7944.71</v>
      </c>
      <c r="T27" s="6">
        <v>9</v>
      </c>
      <c r="U27" s="6">
        <v>3</v>
      </c>
      <c r="V27" s="9" t="s">
        <v>45</v>
      </c>
      <c r="W27" s="9" t="s">
        <v>284</v>
      </c>
    </row>
    <row r="28" spans="1:23" x14ac:dyDescent="0.25">
      <c r="A28" s="2" t="s">
        <v>37</v>
      </c>
      <c r="B28" s="2" t="s">
        <v>38</v>
      </c>
      <c r="C28" s="2" t="s">
        <v>39</v>
      </c>
      <c r="D28" s="2" t="s">
        <v>285</v>
      </c>
      <c r="E28" s="2" t="s">
        <v>286</v>
      </c>
      <c r="F28" s="2" t="s">
        <v>42</v>
      </c>
      <c r="G28" s="2" t="s">
        <v>7</v>
      </c>
      <c r="H28" s="2" t="s">
        <v>43</v>
      </c>
      <c r="I28" s="3">
        <v>46262.41666666667</v>
      </c>
      <c r="J28" s="2" t="s">
        <v>205</v>
      </c>
      <c r="K28" s="2" t="s">
        <v>262</v>
      </c>
      <c r="L28" s="4">
        <v>112.45</v>
      </c>
      <c r="M28" s="5">
        <f>IF(AND(ISNUMBER(N28),ISNUMBER(L28),L28&gt;0),ROUND(N28/L28,2),"")</f>
        <v>9520</v>
      </c>
      <c r="N28" s="6">
        <v>1070524</v>
      </c>
      <c r="O28" s="7">
        <v>191.165</v>
      </c>
      <c r="P28" s="8">
        <f>IF(AND(ISNUMBER(N28),ISNUMBER(O28),O28&gt;0),N28/(O28*10000),"")</f>
        <v>0.56</v>
      </c>
      <c r="Q28" s="6">
        <v>1070524</v>
      </c>
      <c r="R28" s="8">
        <f>IF(AND(ISNUMBER(Q28),ISNUMBER(N28),N28&gt;0),(Q28-N28)/N28,"")</f>
        <v>0</v>
      </c>
      <c r="S28" s="5">
        <f>IF(AND(ISNUMBER(Q28),ISNUMBER(L28),L28&gt;0),ROUND(Q28/L28,2),"")</f>
        <v>9520</v>
      </c>
      <c r="T28" s="6">
        <v>1</v>
      </c>
      <c r="U28" s="6">
        <v>1</v>
      </c>
      <c r="V28" s="9" t="s">
        <v>45</v>
      </c>
      <c r="W28" s="9" t="s">
        <v>287</v>
      </c>
    </row>
    <row r="29" spans="1:23" x14ac:dyDescent="0.25">
      <c r="A29" s="2" t="s">
        <v>37</v>
      </c>
      <c r="B29" s="2" t="s">
        <v>38</v>
      </c>
      <c r="C29" s="2" t="s">
        <v>75</v>
      </c>
      <c r="D29" s="2" t="s">
        <v>288</v>
      </c>
      <c r="E29" s="2" t="s">
        <v>289</v>
      </c>
      <c r="F29" s="2" t="s">
        <v>42</v>
      </c>
      <c r="G29" s="2" t="s">
        <v>7</v>
      </c>
      <c r="H29" s="2" t="s">
        <v>43</v>
      </c>
      <c r="I29" s="3">
        <v>46262.41666666667</v>
      </c>
      <c r="J29" s="2" t="s">
        <v>205</v>
      </c>
      <c r="K29" s="2" t="s">
        <v>44</v>
      </c>
      <c r="L29" s="4">
        <v>81.83</v>
      </c>
      <c r="M29" s="5">
        <f>IF(AND(ISNUMBER(N29),ISNUMBER(L29),L29&gt;0),ROUND(N29/L29,2),"")</f>
        <v>9531.96</v>
      </c>
      <c r="N29" s="6">
        <v>780000</v>
      </c>
      <c r="O29" s="7">
        <v>138</v>
      </c>
      <c r="P29" s="8">
        <f>IF(AND(ISNUMBER(N29),ISNUMBER(O29),O29&gt;0),N29/(O29*10000),"")</f>
        <v>0.5652173913043478</v>
      </c>
      <c r="Q29" s="6">
        <v>780000</v>
      </c>
      <c r="R29" s="8">
        <f>IF(AND(ISNUMBER(Q29),ISNUMBER(N29),N29&gt;0),(Q29-N29)/N29,"")</f>
        <v>0</v>
      </c>
      <c r="S29" s="5">
        <f>IF(AND(ISNUMBER(Q29),ISNUMBER(L29),L29&gt;0),ROUND(Q29/L29,2),"")</f>
        <v>9531.96</v>
      </c>
      <c r="T29" s="6">
        <v>1</v>
      </c>
      <c r="U29" s="6">
        <v>1</v>
      </c>
      <c r="V29" s="9" t="s">
        <v>45</v>
      </c>
      <c r="W29" s="9" t="s">
        <v>290</v>
      </c>
    </row>
    <row r="30" spans="1:23" x14ac:dyDescent="0.25">
      <c r="A30" s="2" t="s">
        <v>37</v>
      </c>
      <c r="B30" s="2" t="s">
        <v>103</v>
      </c>
      <c r="C30" s="2" t="s">
        <v>117</v>
      </c>
      <c r="D30" s="2" t="s">
        <v>291</v>
      </c>
      <c r="E30" s="2" t="s">
        <v>292</v>
      </c>
      <c r="F30" s="2" t="s">
        <v>42</v>
      </c>
      <c r="G30" s="2" t="s">
        <v>7</v>
      </c>
      <c r="H30" s="2" t="s">
        <v>43</v>
      </c>
      <c r="I30" s="3">
        <v>46264.41666666667</v>
      </c>
      <c r="J30" s="2" t="s">
        <v>205</v>
      </c>
      <c r="K30" s="2" t="s">
        <v>125</v>
      </c>
      <c r="L30" s="4">
        <v>87.75</v>
      </c>
      <c r="M30" s="5">
        <f>IF(AND(ISNUMBER(N30),ISNUMBER(L30),L30&gt;0),ROUND(N30/L30,2),"")</f>
        <v>5323.67</v>
      </c>
      <c r="N30" s="6">
        <v>467152</v>
      </c>
      <c r="O30" s="7">
        <v>83.42</v>
      </c>
      <c r="P30" s="8">
        <f>IF(AND(ISNUMBER(N30),ISNUMBER(O30),O30&gt;0),N30/(O30*10000),"")</f>
        <v>0.56</v>
      </c>
      <c r="Q30" s="6">
        <v>659152</v>
      </c>
      <c r="R30" s="8">
        <f>IF(AND(ISNUMBER(Q30),ISNUMBER(N30),N30&gt;0),(Q30-N30)/N30,"")</f>
        <v>0.4110011302531082</v>
      </c>
      <c r="S30" s="5">
        <f>IF(AND(ISNUMBER(Q30),ISNUMBER(L30),L30&gt;0),ROUND(Q30/L30,2),"")</f>
        <v>7511.7</v>
      </c>
      <c r="T30" s="6">
        <v>40</v>
      </c>
      <c r="U30" s="6">
        <v>4</v>
      </c>
      <c r="V30" s="9" t="s">
        <v>45</v>
      </c>
      <c r="W30" s="9" t="s">
        <v>293</v>
      </c>
    </row>
    <row r="31" spans="1:23" x14ac:dyDescent="0.25">
      <c r="A31" s="2" t="s">
        <v>37</v>
      </c>
      <c r="B31" s="2" t="s">
        <v>103</v>
      </c>
      <c r="C31" s="2" t="s">
        <v>122</v>
      </c>
      <c r="D31" s="2" t="s">
        <v>294</v>
      </c>
      <c r="E31" s="2" t="s">
        <v>295</v>
      </c>
      <c r="F31" s="2" t="s">
        <v>42</v>
      </c>
      <c r="G31" s="2" t="s">
        <v>7</v>
      </c>
      <c r="H31" s="2" t="s">
        <v>43</v>
      </c>
      <c r="I31" s="3">
        <v>46264.41666666667</v>
      </c>
      <c r="J31" s="2" t="s">
        <v>205</v>
      </c>
      <c r="K31" s="2" t="s">
        <v>125</v>
      </c>
      <c r="L31" s="4">
        <v>78.24</v>
      </c>
      <c r="M31" s="5">
        <f>IF(AND(ISNUMBER(N31),ISNUMBER(L31),L31&gt;0),ROUND(N31/L31,2),"")</f>
        <v>2184.01</v>
      </c>
      <c r="N31" s="6">
        <v>170877</v>
      </c>
      <c r="O31" s="7">
        <v>30.5136</v>
      </c>
      <c r="P31" s="8">
        <f>IF(AND(ISNUMBER(N31),ISNUMBER(O31),O31&gt;0),N31/(O31*10000),"")</f>
        <v>0.560002752870851</v>
      </c>
      <c r="Q31" s="6">
        <v>193081</v>
      </c>
      <c r="R31" s="8">
        <f>IF(AND(ISNUMBER(Q31),ISNUMBER(N31),N31&gt;0),(Q31-N31)/N31,"")</f>
        <v>0.1299414198517062</v>
      </c>
      <c r="S31" s="5">
        <f>IF(AND(ISNUMBER(Q31),ISNUMBER(L31),L31&gt;0),ROUND(Q31/L31,2),"")</f>
        <v>2467.8</v>
      </c>
      <c r="T31" s="6">
        <v>14</v>
      </c>
      <c r="U31" s="6">
        <v>4</v>
      </c>
      <c r="V31" s="9" t="s">
        <v>45</v>
      </c>
      <c r="W31" s="9" t="s">
        <v>296</v>
      </c>
    </row>
    <row r="32" spans="1:23" x14ac:dyDescent="0.25">
      <c r="A32" s="2" t="s">
        <v>37</v>
      </c>
      <c r="B32" s="2" t="s">
        <v>103</v>
      </c>
      <c r="C32" s="2" t="s">
        <v>122</v>
      </c>
      <c r="D32" s="2" t="s">
        <v>297</v>
      </c>
      <c r="E32" s="2" t="s">
        <v>298</v>
      </c>
      <c r="F32" s="2" t="s">
        <v>42</v>
      </c>
      <c r="G32" s="2" t="s">
        <v>7</v>
      </c>
      <c r="H32" s="2" t="s">
        <v>54</v>
      </c>
      <c r="I32" s="3">
        <v>46263.41666666667</v>
      </c>
      <c r="J32" s="2" t="s">
        <v>205</v>
      </c>
      <c r="K32" s="2" t="s">
        <v>125</v>
      </c>
      <c r="L32" s="4">
        <v>87.56</v>
      </c>
      <c r="M32" s="5">
        <f>IF(AND(ISNUMBER(N32),ISNUMBER(L32),L32&gt;0),ROUND(N32/L32,2),"")</f>
        <v>4317.04</v>
      </c>
      <c r="N32" s="6">
        <v>378000</v>
      </c>
      <c r="O32" s="7">
        <v>54</v>
      </c>
      <c r="P32" s="8">
        <f>IF(AND(ISNUMBER(N32),ISNUMBER(O32),O32&gt;0),N32/(O32*10000),"")</f>
        <v>0.7</v>
      </c>
      <c r="Q32" s="6">
        <v>432000</v>
      </c>
      <c r="R32" s="8">
        <f>IF(AND(ISNUMBER(Q32),ISNUMBER(N32),N32&gt;0),(Q32-N32)/N32,"")</f>
        <v>0.14285714285714285</v>
      </c>
      <c r="S32" s="5">
        <f>IF(AND(ISNUMBER(Q32),ISNUMBER(L32),L32&gt;0),ROUND(Q32/L32,2),"")</f>
        <v>4933.76</v>
      </c>
      <c r="T32" s="6">
        <v>19</v>
      </c>
      <c r="U32" s="6">
        <v>3</v>
      </c>
      <c r="V32" s="9" t="s">
        <v>45</v>
      </c>
      <c r="W32" s="9" t="s">
        <v>299</v>
      </c>
    </row>
    <row r="33" spans="1:23" x14ac:dyDescent="0.25">
      <c r="A33" s="2" t="s">
        <v>37</v>
      </c>
      <c r="B33" s="2" t="s">
        <v>103</v>
      </c>
      <c r="C33" s="2" t="s">
        <v>109</v>
      </c>
      <c r="D33" s="2" t="s">
        <v>300</v>
      </c>
      <c r="E33" s="2" t="s">
        <v>301</v>
      </c>
      <c r="F33" s="2" t="s">
        <v>42</v>
      </c>
      <c r="G33" s="2" t="s">
        <v>7</v>
      </c>
      <c r="H33" s="2" t="s">
        <v>54</v>
      </c>
      <c r="I33" s="3">
        <v>46263.41666666667</v>
      </c>
      <c r="J33" s="2" t="s">
        <v>205</v>
      </c>
      <c r="K33" s="2" t="s">
        <v>125</v>
      </c>
      <c r="L33" s="4">
        <v>109.46</v>
      </c>
      <c r="M33" s="5">
        <f>IF(AND(ISNUMBER(N33),ISNUMBER(L33),L33&gt;0),ROUND(N33/L33,2),"")</f>
        <v>11060</v>
      </c>
      <c r="N33" s="6">
        <v>1210628</v>
      </c>
      <c r="O33" s="7">
        <v>172.9468</v>
      </c>
      <c r="P33" s="8">
        <f>IF(AND(ISNUMBER(N33),ISNUMBER(O33),O33&gt;0),N33/(O33*10000),"")</f>
        <v>0.7000002312849963</v>
      </c>
      <c r="Q33" s="6">
        <v>1210628</v>
      </c>
      <c r="R33" s="8">
        <f>IF(AND(ISNUMBER(Q33),ISNUMBER(N33),N33&gt;0),(Q33-N33)/N33,"")</f>
        <v>0</v>
      </c>
      <c r="S33" s="5">
        <f>IF(AND(ISNUMBER(Q33),ISNUMBER(L33),L33&gt;0),ROUND(Q33/L33,2),"")</f>
        <v>11060</v>
      </c>
      <c r="T33" s="6">
        <v>1</v>
      </c>
      <c r="U33" s="6">
        <v>1</v>
      </c>
      <c r="V33" s="9" t="s">
        <v>45</v>
      </c>
      <c r="W33" s="9" t="s">
        <v>302</v>
      </c>
    </row>
    <row r="34" spans="1:23" x14ac:dyDescent="0.25">
      <c r="A34" s="2" t="s">
        <v>37</v>
      </c>
      <c r="B34" s="2" t="s">
        <v>103</v>
      </c>
      <c r="C34" s="2" t="s">
        <v>303</v>
      </c>
      <c r="D34" s="2" t="s">
        <v>304</v>
      </c>
      <c r="E34" s="2" t="s">
        <v>305</v>
      </c>
      <c r="F34" s="2" t="s">
        <v>42</v>
      </c>
      <c r="G34" s="2" t="s">
        <v>7</v>
      </c>
      <c r="H34" s="2" t="s">
        <v>54</v>
      </c>
      <c r="I34" s="3">
        <v>46262.41666666667</v>
      </c>
      <c r="J34" s="2" t="s">
        <v>205</v>
      </c>
      <c r="K34" s="2" t="s">
        <v>306</v>
      </c>
      <c r="L34" s="11" t="s">
        <v>307</v>
      </c>
      <c r="M34" s="5" t="str">
        <f>IF(AND(ISNUMBER(N34),ISNUMBER(L34),L34&gt;0),ROUND(N34/L34,2),"")</f>
        <v/>
      </c>
      <c r="N34" s="6">
        <v>8650400</v>
      </c>
      <c r="O34" s="7">
        <v>1235.77</v>
      </c>
      <c r="P34" s="8">
        <f>IF(AND(ISNUMBER(N34),ISNUMBER(O34),O34&gt;0),N34/(O34*10000),"")</f>
        <v>0.7000008092120702</v>
      </c>
      <c r="Q34" s="6">
        <v>12130400</v>
      </c>
      <c r="R34" s="8">
        <f>IF(AND(ISNUMBER(Q34),ISNUMBER(N34),N34&gt;0),(Q34-N34)/N34,"")</f>
        <v>0.4022935355590493</v>
      </c>
      <c r="S34" s="5" t="str">
        <f>IF(AND(ISNUMBER(Q34),ISNUMBER(L34),L34&gt;0),ROUND(Q34/L34,2),"")</f>
        <v/>
      </c>
      <c r="T34" s="6">
        <v>81</v>
      </c>
      <c r="U34" s="6">
        <v>5</v>
      </c>
      <c r="V34" s="2" t="s">
        <v>308</v>
      </c>
      <c r="W34" s="9" t="s">
        <v>309</v>
      </c>
    </row>
    <row r="35" spans="1:23" x14ac:dyDescent="0.25">
      <c r="A35" s="2" t="s">
        <v>37</v>
      </c>
      <c r="B35" s="2" t="s">
        <v>103</v>
      </c>
      <c r="C35" s="2" t="s">
        <v>303</v>
      </c>
      <c r="D35" s="2" t="s">
        <v>310</v>
      </c>
      <c r="E35" s="2" t="s">
        <v>305</v>
      </c>
      <c r="F35" s="2" t="s">
        <v>42</v>
      </c>
      <c r="G35" s="2" t="s">
        <v>7</v>
      </c>
      <c r="H35" s="2" t="s">
        <v>54</v>
      </c>
      <c r="I35" s="3">
        <v>46262.41666666667</v>
      </c>
      <c r="J35" s="2" t="s">
        <v>205</v>
      </c>
      <c r="K35" s="2" t="s">
        <v>306</v>
      </c>
      <c r="L35" s="11" t="s">
        <v>307</v>
      </c>
      <c r="M35" s="5" t="str">
        <f>IF(AND(ISNUMBER(N35),ISNUMBER(L35),L35&gt;0),ROUND(N35/L35,2),"")</f>
        <v/>
      </c>
      <c r="N35" s="6">
        <v>8650400</v>
      </c>
      <c r="O35" s="7">
        <v>1235.77</v>
      </c>
      <c r="P35" s="8">
        <f>IF(AND(ISNUMBER(N35),ISNUMBER(O35),O35&gt;0),N35/(O35*10000),"")</f>
        <v>0.7000008092120702</v>
      </c>
      <c r="Q35" s="6">
        <v>12490400</v>
      </c>
      <c r="R35" s="8">
        <f>IF(AND(ISNUMBER(Q35),ISNUMBER(N35),N35&gt;0),(Q35-N35)/N35,"")</f>
        <v>0.44391010820308885</v>
      </c>
      <c r="S35" s="5" t="str">
        <f>IF(AND(ISNUMBER(Q35),ISNUMBER(L35),L35&gt;0),ROUND(Q35/L35,2),"")</f>
        <v/>
      </c>
      <c r="T35" s="6">
        <v>84</v>
      </c>
      <c r="U35" s="6">
        <v>5</v>
      </c>
      <c r="V35" s="2" t="s">
        <v>308</v>
      </c>
      <c r="W35" s="9" t="s">
        <v>311</v>
      </c>
    </row>
    <row r="36" spans="1:23" x14ac:dyDescent="0.25">
      <c r="A36" s="2" t="s">
        <v>37</v>
      </c>
      <c r="B36" s="2" t="s">
        <v>103</v>
      </c>
      <c r="C36" s="2" t="s">
        <v>303</v>
      </c>
      <c r="D36" s="2" t="s">
        <v>312</v>
      </c>
      <c r="E36" s="2" t="s">
        <v>305</v>
      </c>
      <c r="F36" s="2" t="s">
        <v>42</v>
      </c>
      <c r="G36" s="2" t="s">
        <v>7</v>
      </c>
      <c r="H36" s="2" t="s">
        <v>54</v>
      </c>
      <c r="I36" s="3">
        <v>46262.41666666667</v>
      </c>
      <c r="J36" s="2" t="s">
        <v>205</v>
      </c>
      <c r="K36" s="2" t="s">
        <v>306</v>
      </c>
      <c r="L36" s="11" t="s">
        <v>307</v>
      </c>
      <c r="M36" s="5" t="str">
        <f>IF(AND(ISNUMBER(N36),ISNUMBER(L36),L36&gt;0),ROUND(N36/L36,2),"")</f>
        <v/>
      </c>
      <c r="N36" s="6">
        <v>8880800</v>
      </c>
      <c r="O36" s="7">
        <v>1268.62</v>
      </c>
      <c r="P36" s="8">
        <f>IF(AND(ISNUMBER(N36),ISNUMBER(O36),O36&gt;0),N36/(O36*10000),"")</f>
        <v>0.7000362598729329</v>
      </c>
      <c r="Q36" s="6">
        <v>11560800</v>
      </c>
      <c r="R36" s="8">
        <f>IF(AND(ISNUMBER(Q36),ISNUMBER(N36),N36&gt;0),(Q36-N36)/N36,"")</f>
        <v>0.3017746148995586</v>
      </c>
      <c r="S36" s="5" t="str">
        <f>IF(AND(ISNUMBER(Q36),ISNUMBER(L36),L36&gt;0),ROUND(Q36/L36,2),"")</f>
        <v/>
      </c>
      <c r="T36" s="6">
        <v>51</v>
      </c>
      <c r="U36" s="6">
        <v>6</v>
      </c>
      <c r="V36" s="2" t="s">
        <v>313</v>
      </c>
      <c r="W36" s="9" t="s">
        <v>314</v>
      </c>
    </row>
    <row r="37" spans="1:23" x14ac:dyDescent="0.25">
      <c r="A37" s="2" t="s">
        <v>37</v>
      </c>
      <c r="B37" s="2" t="s">
        <v>103</v>
      </c>
      <c r="C37" s="2" t="s">
        <v>303</v>
      </c>
      <c r="D37" s="2" t="s">
        <v>315</v>
      </c>
      <c r="E37" s="2" t="s">
        <v>305</v>
      </c>
      <c r="F37" s="2" t="s">
        <v>42</v>
      </c>
      <c r="G37" s="2" t="s">
        <v>7</v>
      </c>
      <c r="H37" s="2" t="s">
        <v>54</v>
      </c>
      <c r="I37" s="3">
        <v>46262.41666666667</v>
      </c>
      <c r="J37" s="2" t="s">
        <v>205</v>
      </c>
      <c r="K37" s="2" t="s">
        <v>306</v>
      </c>
      <c r="L37" s="11" t="s">
        <v>307</v>
      </c>
      <c r="M37" s="5" t="str">
        <f>IF(AND(ISNUMBER(N37),ISNUMBER(L37),L37&gt;0),ROUND(N37/L37,2),"")</f>
        <v/>
      </c>
      <c r="N37" s="6">
        <v>8325800</v>
      </c>
      <c r="O37" s="7">
        <v>1189.39</v>
      </c>
      <c r="P37" s="8">
        <f>IF(AND(ISNUMBER(N37),ISNUMBER(O37),O37&gt;0),N37/(O37*10000),"")</f>
        <v>0.7000058853698113</v>
      </c>
      <c r="Q37" s="6">
        <v>11165800</v>
      </c>
      <c r="R37" s="8">
        <f>IF(AND(ISNUMBER(Q37),ISNUMBER(N37),N37&gt;0),(Q37-N37)/N37,"")</f>
        <v>0.3411083619592111</v>
      </c>
      <c r="S37" s="5" t="str">
        <f>IF(AND(ISNUMBER(Q37),ISNUMBER(L37),L37&gt;0),ROUND(Q37/L37,2),"")</f>
        <v/>
      </c>
      <c r="T37" s="6">
        <v>52</v>
      </c>
      <c r="U37" s="6">
        <v>5</v>
      </c>
      <c r="V37" s="2" t="s">
        <v>316</v>
      </c>
      <c r="W37" s="9" t="s">
        <v>317</v>
      </c>
    </row>
    <row r="38" spans="1:23" x14ac:dyDescent="0.25">
      <c r="A38" s="2" t="s">
        <v>37</v>
      </c>
      <c r="B38" s="2" t="s">
        <v>103</v>
      </c>
      <c r="C38" s="2" t="s">
        <v>303</v>
      </c>
      <c r="D38" s="2" t="s">
        <v>318</v>
      </c>
      <c r="E38" s="2" t="s">
        <v>305</v>
      </c>
      <c r="F38" s="2" t="s">
        <v>42</v>
      </c>
      <c r="G38" s="2" t="s">
        <v>7</v>
      </c>
      <c r="H38" s="2" t="s">
        <v>54</v>
      </c>
      <c r="I38" s="3">
        <v>46262.41666666667</v>
      </c>
      <c r="J38" s="2" t="s">
        <v>205</v>
      </c>
      <c r="K38" s="2" t="s">
        <v>306</v>
      </c>
      <c r="L38" s="11" t="s">
        <v>307</v>
      </c>
      <c r="M38" s="5" t="str">
        <f>IF(AND(ISNUMBER(N38),ISNUMBER(L38),L38&gt;0),ROUND(N38/L38,2),"")</f>
        <v/>
      </c>
      <c r="N38" s="6">
        <v>8296000</v>
      </c>
      <c r="O38" s="7">
        <v>1185.12</v>
      </c>
      <c r="P38" s="8">
        <f>IF(AND(ISNUMBER(N38),ISNUMBER(O38),O38&gt;0),N38/(O38*10000),"")</f>
        <v>0.700013500742541</v>
      </c>
      <c r="Q38" s="6">
        <v>10456000</v>
      </c>
      <c r="R38" s="8">
        <f>IF(AND(ISNUMBER(Q38),ISNUMBER(N38),N38&gt;0),(Q38-N38)/N38,"")</f>
        <v>0.26036644165863065</v>
      </c>
      <c r="S38" s="5" t="str">
        <f>IF(AND(ISNUMBER(Q38),ISNUMBER(L38),L38&gt;0),ROUND(Q38/L38,2),"")</f>
        <v/>
      </c>
      <c r="T38" s="6">
        <v>46</v>
      </c>
      <c r="U38" s="6">
        <v>6</v>
      </c>
      <c r="V38" s="2" t="s">
        <v>319</v>
      </c>
      <c r="W38" s="9" t="s">
        <v>320</v>
      </c>
    </row>
    <row r="39" spans="1:23" x14ac:dyDescent="0.25">
      <c r="A39" s="2" t="s">
        <v>37</v>
      </c>
      <c r="B39" s="2" t="s">
        <v>103</v>
      </c>
      <c r="C39" s="2" t="s">
        <v>104</v>
      </c>
      <c r="D39" s="2" t="s">
        <v>321</v>
      </c>
      <c r="E39" s="2" t="s">
        <v>322</v>
      </c>
      <c r="F39" s="2" t="s">
        <v>42</v>
      </c>
      <c r="G39" s="2" t="s">
        <v>7</v>
      </c>
      <c r="H39" s="2" t="s">
        <v>43</v>
      </c>
      <c r="I39" s="3">
        <v>46262.41666666667</v>
      </c>
      <c r="J39" s="2" t="s">
        <v>205</v>
      </c>
      <c r="K39" s="2" t="s">
        <v>323</v>
      </c>
      <c r="L39" s="4">
        <v>151.83</v>
      </c>
      <c r="M39" s="5">
        <f>IF(AND(ISNUMBER(N39),ISNUMBER(L39),L39&gt;0),ROUND(N39/L39,2),"")</f>
        <v>2878.22</v>
      </c>
      <c r="N39" s="6">
        <v>437000</v>
      </c>
      <c r="O39" s="7">
        <v>77.9875</v>
      </c>
      <c r="P39" s="8">
        <f>IF(AND(ISNUMBER(N39),ISNUMBER(O39),O39&gt;0),N39/(O39*10000),"")</f>
        <v>0.560346209328418</v>
      </c>
      <c r="Q39" s="6">
        <v>481000</v>
      </c>
      <c r="R39" s="8">
        <f>IF(AND(ISNUMBER(Q39),ISNUMBER(N39),N39&gt;0),(Q39-N39)/N39,"")</f>
        <v>0.10068649885583524</v>
      </c>
      <c r="S39" s="5">
        <f>IF(AND(ISNUMBER(Q39),ISNUMBER(L39),L39&gt;0),ROUND(Q39/L39,2),"")</f>
        <v>3168.02</v>
      </c>
      <c r="T39" s="6">
        <v>12</v>
      </c>
      <c r="U39" s="6">
        <v>2</v>
      </c>
      <c r="V39" s="9" t="s">
        <v>45</v>
      </c>
      <c r="W39" s="9" t="s">
        <v>324</v>
      </c>
    </row>
    <row r="40" spans="1:23" x14ac:dyDescent="0.25">
      <c r="A40" s="2" t="s">
        <v>37</v>
      </c>
      <c r="B40" s="2" t="s">
        <v>103</v>
      </c>
      <c r="C40" s="2" t="s">
        <v>303</v>
      </c>
      <c r="D40" s="2" t="s">
        <v>325</v>
      </c>
      <c r="E40" s="2" t="s">
        <v>305</v>
      </c>
      <c r="F40" s="2" t="s">
        <v>42</v>
      </c>
      <c r="G40" s="2" t="s">
        <v>7</v>
      </c>
      <c r="H40" s="2" t="s">
        <v>54</v>
      </c>
      <c r="I40" s="3">
        <v>46262.41666666667</v>
      </c>
      <c r="J40" s="2" t="s">
        <v>205</v>
      </c>
      <c r="K40" s="2" t="s">
        <v>306</v>
      </c>
      <c r="L40" s="4">
        <v>483.68</v>
      </c>
      <c r="M40" s="5">
        <f>IF(AND(ISNUMBER(N40),ISNUMBER(L40),L40&gt;0),ROUND(N40/L40,2),"")</f>
        <v>7985.65</v>
      </c>
      <c r="N40" s="6">
        <v>3862500</v>
      </c>
      <c r="O40" s="7">
        <v>551.78</v>
      </c>
      <c r="P40" s="8">
        <f>IF(AND(ISNUMBER(N40),ISNUMBER(O40),O40&gt;0),N40/(O40*10000),"")</f>
        <v>0.7000072492660118</v>
      </c>
      <c r="Q40" s="6">
        <v>4012500</v>
      </c>
      <c r="R40" s="8">
        <f>IF(AND(ISNUMBER(Q40),ISNUMBER(N40),N40&gt;0),(Q40-N40)/N40,"")</f>
        <v>0.038834951456310676</v>
      </c>
      <c r="S40" s="5">
        <f>IF(AND(ISNUMBER(Q40),ISNUMBER(L40),L40&gt;0),ROUND(Q40/L40,2),"")</f>
        <v>8295.77</v>
      </c>
      <c r="T40" s="6">
        <v>11</v>
      </c>
      <c r="U40" s="6">
        <v>3</v>
      </c>
      <c r="V40" s="9" t="s">
        <v>45</v>
      </c>
      <c r="W40" s="9" t="s">
        <v>326</v>
      </c>
    </row>
    <row r="41" spans="1:23" x14ac:dyDescent="0.25">
      <c r="A41" s="2" t="s">
        <v>37</v>
      </c>
      <c r="B41" s="2" t="s">
        <v>103</v>
      </c>
      <c r="C41" s="2" t="s">
        <v>303</v>
      </c>
      <c r="D41" s="2" t="s">
        <v>327</v>
      </c>
      <c r="E41" s="2" t="s">
        <v>305</v>
      </c>
      <c r="F41" s="2" t="s">
        <v>42</v>
      </c>
      <c r="G41" s="2" t="s">
        <v>7</v>
      </c>
      <c r="H41" s="2" t="s">
        <v>54</v>
      </c>
      <c r="I41" s="3">
        <v>46262.41666666667</v>
      </c>
      <c r="J41" s="2" t="s">
        <v>205</v>
      </c>
      <c r="K41" s="2" t="s">
        <v>306</v>
      </c>
      <c r="L41" s="4">
        <v>481.02</v>
      </c>
      <c r="M41" s="5">
        <f>IF(AND(ISNUMBER(N41),ISNUMBER(L41),L41&gt;0),ROUND(N41/L41,2),"")</f>
        <v>7985.74</v>
      </c>
      <c r="N41" s="6">
        <v>3841300</v>
      </c>
      <c r="O41" s="7">
        <v>548.75</v>
      </c>
      <c r="P41" s="8">
        <f>IF(AND(ISNUMBER(N41),ISNUMBER(O41),O41&gt;0),N41/(O41*10000),"")</f>
        <v>0.700009111617312</v>
      </c>
      <c r="Q41" s="6">
        <v>4096300</v>
      </c>
      <c r="R41" s="8">
        <f>IF(AND(ISNUMBER(Q41),ISNUMBER(N41),N41&gt;0),(Q41-N41)/N41,"")</f>
        <v>0.06638377632572307</v>
      </c>
      <c r="S41" s="5">
        <f>IF(AND(ISNUMBER(Q41),ISNUMBER(L41),L41&gt;0),ROUND(Q41/L41,2),"")</f>
        <v>8515.86</v>
      </c>
      <c r="T41" s="6">
        <v>18</v>
      </c>
      <c r="U41" s="6">
        <v>2</v>
      </c>
      <c r="V41" s="9" t="s">
        <v>45</v>
      </c>
      <c r="W41" s="9" t="s">
        <v>328</v>
      </c>
    </row>
    <row r="42" spans="1:23" x14ac:dyDescent="0.25">
      <c r="A42" s="2" t="s">
        <v>37</v>
      </c>
      <c r="B42" s="2" t="s">
        <v>103</v>
      </c>
      <c r="C42" s="2" t="s">
        <v>303</v>
      </c>
      <c r="D42" s="2" t="s">
        <v>329</v>
      </c>
      <c r="E42" s="2" t="s">
        <v>305</v>
      </c>
      <c r="F42" s="2" t="s">
        <v>42</v>
      </c>
      <c r="G42" s="2" t="s">
        <v>7</v>
      </c>
      <c r="H42" s="2" t="s">
        <v>54</v>
      </c>
      <c r="I42" s="3">
        <v>46262.41666666667</v>
      </c>
      <c r="J42" s="2" t="s">
        <v>205</v>
      </c>
      <c r="K42" s="2" t="s">
        <v>306</v>
      </c>
      <c r="L42" s="4">
        <v>481.02</v>
      </c>
      <c r="M42" s="5">
        <f>IF(AND(ISNUMBER(N42),ISNUMBER(L42),L42&gt;0),ROUND(N42/L42,2),"")</f>
        <v>7985.74</v>
      </c>
      <c r="N42" s="6">
        <v>3841300</v>
      </c>
      <c r="O42" s="7">
        <v>548.75</v>
      </c>
      <c r="P42" s="8">
        <f>IF(AND(ISNUMBER(N42),ISNUMBER(O42),O42&gt;0),N42/(O42*10000),"")</f>
        <v>0.700009111617312</v>
      </c>
      <c r="Q42" s="6">
        <v>3886300</v>
      </c>
      <c r="R42" s="8">
        <f>IF(AND(ISNUMBER(Q42),ISNUMBER(N42),N42&gt;0),(Q42-N42)/N42,"")</f>
        <v>0.01171478405748054</v>
      </c>
      <c r="S42" s="5">
        <f>IF(AND(ISNUMBER(Q42),ISNUMBER(L42),L42&gt;0),ROUND(Q42/L42,2),"")</f>
        <v>8079.29</v>
      </c>
      <c r="T42" s="6">
        <v>4</v>
      </c>
      <c r="U42" s="6">
        <v>3</v>
      </c>
      <c r="V42" s="9" t="s">
        <v>45</v>
      </c>
      <c r="W42" s="9" t="s">
        <v>330</v>
      </c>
    </row>
    <row r="43" spans="1:23" x14ac:dyDescent="0.25">
      <c r="A43" s="2" t="s">
        <v>37</v>
      </c>
      <c r="B43" s="2" t="s">
        <v>103</v>
      </c>
      <c r="C43" s="2" t="s">
        <v>303</v>
      </c>
      <c r="D43" s="2" t="s">
        <v>331</v>
      </c>
      <c r="E43" s="2" t="s">
        <v>305</v>
      </c>
      <c r="F43" s="2" t="s">
        <v>42</v>
      </c>
      <c r="G43" s="2" t="s">
        <v>7</v>
      </c>
      <c r="H43" s="2" t="s">
        <v>54</v>
      </c>
      <c r="I43" s="3">
        <v>46262.41666666667</v>
      </c>
      <c r="J43" s="2" t="s">
        <v>205</v>
      </c>
      <c r="K43" s="2" t="s">
        <v>306</v>
      </c>
      <c r="L43" s="11" t="s">
        <v>307</v>
      </c>
      <c r="M43" s="5" t="str">
        <f>IF(AND(ISNUMBER(N43),ISNUMBER(L43),L43&gt;0),ROUND(N43/L43,2),"")</f>
        <v/>
      </c>
      <c r="N43" s="6">
        <v>8296000</v>
      </c>
      <c r="O43" s="7">
        <v>1185.12</v>
      </c>
      <c r="P43" s="8">
        <f>IF(AND(ISNUMBER(N43),ISNUMBER(O43),O43&gt;0),N43/(O43*10000),"")</f>
        <v>0.700013500742541</v>
      </c>
      <c r="Q43" s="6">
        <v>8296000</v>
      </c>
      <c r="R43" s="8">
        <f>IF(AND(ISNUMBER(Q43),ISNUMBER(N43),N43&gt;0),(Q43-N43)/N43,"")</f>
        <v>0</v>
      </c>
      <c r="S43" s="5" t="str">
        <f>IF(AND(ISNUMBER(Q43),ISNUMBER(L43),L43&gt;0),ROUND(Q43/L43,2),"")</f>
        <v/>
      </c>
      <c r="T43" s="6">
        <v>1</v>
      </c>
      <c r="U43" s="6">
        <v>3</v>
      </c>
      <c r="V43" s="2" t="s">
        <v>319</v>
      </c>
      <c r="W43" s="9" t="s">
        <v>332</v>
      </c>
    </row>
    <row r="44" spans="1:23" x14ac:dyDescent="0.25">
      <c r="A44" s="2" t="s">
        <v>37</v>
      </c>
      <c r="B44" s="2" t="s">
        <v>103</v>
      </c>
      <c r="C44" s="2" t="s">
        <v>122</v>
      </c>
      <c r="D44" s="2" t="s">
        <v>333</v>
      </c>
      <c r="E44" s="2" t="s">
        <v>334</v>
      </c>
      <c r="F44" s="2" t="s">
        <v>42</v>
      </c>
      <c r="G44" s="2" t="s">
        <v>7</v>
      </c>
      <c r="H44" s="2" t="s">
        <v>43</v>
      </c>
      <c r="I44" s="3">
        <v>46262.41666666667</v>
      </c>
      <c r="J44" s="2" t="s">
        <v>205</v>
      </c>
      <c r="K44" s="2" t="s">
        <v>125</v>
      </c>
      <c r="L44" s="4">
        <v>92.27</v>
      </c>
      <c r="M44" s="5">
        <f>IF(AND(ISNUMBER(N44),ISNUMBER(L44),L44&gt;0),ROUND(N44/L44,2),"")</f>
        <v>2803.59</v>
      </c>
      <c r="N44" s="6">
        <v>258687</v>
      </c>
      <c r="O44" s="7">
        <v>46.194</v>
      </c>
      <c r="P44" s="8">
        <f>IF(AND(ISNUMBER(N44),ISNUMBER(O44),O44&gt;0),N44/(O44*10000),"")</f>
        <v>0.5600012988699831</v>
      </c>
      <c r="Q44" s="6">
        <v>258687</v>
      </c>
      <c r="R44" s="8">
        <f>IF(AND(ISNUMBER(Q44),ISNUMBER(N44),N44&gt;0),(Q44-N44)/N44,"")</f>
        <v>0</v>
      </c>
      <c r="S44" s="5">
        <f>IF(AND(ISNUMBER(Q44),ISNUMBER(L44),L44&gt;0),ROUND(Q44/L44,2),"")</f>
        <v>2803.59</v>
      </c>
      <c r="T44" s="6">
        <v>1</v>
      </c>
      <c r="U44" s="6">
        <v>2</v>
      </c>
      <c r="V44" s="9" t="s">
        <v>45</v>
      </c>
      <c r="W44" s="9" t="s">
        <v>335</v>
      </c>
    </row>
    <row r="45" spans="1:23" x14ac:dyDescent="0.25">
      <c r="A45" s="2" t="s">
        <v>37</v>
      </c>
      <c r="B45" s="2" t="s">
        <v>103</v>
      </c>
      <c r="C45" s="2" t="s">
        <v>303</v>
      </c>
      <c r="D45" s="2" t="s">
        <v>336</v>
      </c>
      <c r="E45" s="2" t="s">
        <v>305</v>
      </c>
      <c r="F45" s="2" t="s">
        <v>42</v>
      </c>
      <c r="G45" s="2" t="s">
        <v>7</v>
      </c>
      <c r="H45" s="2" t="s">
        <v>54</v>
      </c>
      <c r="I45" s="3">
        <v>46262.41666666667</v>
      </c>
      <c r="J45" s="2" t="s">
        <v>205</v>
      </c>
      <c r="K45" s="2" t="s">
        <v>306</v>
      </c>
      <c r="L45" s="4">
        <v>481.45</v>
      </c>
      <c r="M45" s="5">
        <f>IF(AND(ISNUMBER(N45),ISNUMBER(L45),L45&gt;0),ROUND(N45/L45,2),"")</f>
        <v>7985.67</v>
      </c>
      <c r="N45" s="6">
        <v>3844700</v>
      </c>
      <c r="O45" s="7">
        <v>549.24</v>
      </c>
      <c r="P45" s="8">
        <f>IF(AND(ISNUMBER(N45),ISNUMBER(O45),O45&gt;0),N45/(O45*10000),"")</f>
        <v>0.7000036413953827</v>
      </c>
      <c r="Q45" s="6">
        <v>3844700</v>
      </c>
      <c r="R45" s="8">
        <f>IF(AND(ISNUMBER(Q45),ISNUMBER(N45),N45&gt;0),(Q45-N45)/N45,"")</f>
        <v>0</v>
      </c>
      <c r="S45" s="5">
        <f>IF(AND(ISNUMBER(Q45),ISNUMBER(L45),L45&gt;0),ROUND(Q45/L45,2),"")</f>
        <v>7985.67</v>
      </c>
      <c r="T45" s="6">
        <v>1</v>
      </c>
      <c r="U45" s="6">
        <v>2</v>
      </c>
      <c r="V45" s="9" t="s">
        <v>45</v>
      </c>
      <c r="W45" s="9" t="s">
        <v>337</v>
      </c>
    </row>
    <row r="46" spans="1:23" x14ac:dyDescent="0.25">
      <c r="A46" s="2" t="s">
        <v>37</v>
      </c>
      <c r="B46" s="2" t="s">
        <v>103</v>
      </c>
      <c r="C46" s="2" t="s">
        <v>303</v>
      </c>
      <c r="D46" s="2" t="s">
        <v>338</v>
      </c>
      <c r="E46" s="2" t="s">
        <v>305</v>
      </c>
      <c r="F46" s="2" t="s">
        <v>42</v>
      </c>
      <c r="G46" s="2" t="s">
        <v>7</v>
      </c>
      <c r="H46" s="2" t="s">
        <v>54</v>
      </c>
      <c r="I46" s="3">
        <v>46262.41666666667</v>
      </c>
      <c r="J46" s="2" t="s">
        <v>205</v>
      </c>
      <c r="K46" s="2" t="s">
        <v>306</v>
      </c>
      <c r="L46" s="11" t="s">
        <v>307</v>
      </c>
      <c r="M46" s="5" t="str">
        <f>IF(AND(ISNUMBER(N46),ISNUMBER(L46),L46&gt;0),ROUND(N46/L46,2),"")</f>
        <v/>
      </c>
      <c r="N46" s="6">
        <v>8597700</v>
      </c>
      <c r="O46" s="7">
        <v>1228.23</v>
      </c>
      <c r="P46" s="8">
        <f>IF(AND(ISNUMBER(N46),ISNUMBER(O46),O46&gt;0),N46/(O46*10000),"")</f>
        <v>0.7000073276177915</v>
      </c>
      <c r="Q46" s="6">
        <v>8597700</v>
      </c>
      <c r="R46" s="8">
        <f>IF(AND(ISNUMBER(Q46),ISNUMBER(N46),N46&gt;0),(Q46-N46)/N46,"")</f>
        <v>0</v>
      </c>
      <c r="S46" s="5" t="str">
        <f>IF(AND(ISNUMBER(Q46),ISNUMBER(L46),L46&gt;0),ROUND(Q46/L46,2),"")</f>
        <v/>
      </c>
      <c r="T46" s="6">
        <v>1</v>
      </c>
      <c r="U46" s="6">
        <v>2</v>
      </c>
      <c r="V46" s="2" t="s">
        <v>339</v>
      </c>
      <c r="W46" s="9" t="s">
        <v>340</v>
      </c>
    </row>
  </sheetData>
  <autoFilter ref="A1:W46"/>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83"/>
  <sheetViews>
    <sheetView workbookViewId="0" showGridLines="0">
      <pane xSplit="3" ySplit="1" topLeftCell="D2" activePane="bottomRight" state="frozen"/>
      <selection pane="bottomRight"/>
    </sheetView>
  </sheetViews>
  <sheetFormatPr defaultRowHeight="15" outlineLevelRow="0" outlineLevelCol="0" x14ac:dyDescent="55"/>
  <cols>
    <col min="1" max="2" width="10" customWidth="1"/>
    <col min="3" max="3" width="11" customWidth="1"/>
    <col min="4" max="4" width="42" customWidth="1"/>
    <col min="5" max="5" width="24" customWidth="1"/>
    <col min="6" max="6" width="10" customWidth="1"/>
    <col min="7" max="7" width="11" customWidth="1"/>
    <col min="8" max="8" width="10" customWidth="1"/>
    <col min="9" max="9" width="11" customWidth="1"/>
    <col min="10" max="10" width="14" customWidth="1"/>
    <col min="11" max="11" width="23" customWidth="1"/>
    <col min="12" max="12" width="12" customWidth="1"/>
    <col min="13" max="13" width="16" customWidth="1"/>
    <col min="14" max="14" width="14" customWidth="1"/>
    <col min="15" max="15" width="15" customWidth="1"/>
    <col min="16" max="18" width="12" customWidth="1"/>
    <col min="19" max="19" width="32" customWidth="1"/>
    <col min="20" max="20" width="48" customWidth="1"/>
  </cols>
  <sheetData>
    <row r="1" ht="28" customHeight="1" spans="1:20" x14ac:dyDescent="0.25">
      <c r="A1" s="1" t="s">
        <v>19</v>
      </c>
      <c r="B1" s="1" t="s">
        <v>20</v>
      </c>
      <c r="C1" s="1" t="s">
        <v>21</v>
      </c>
      <c r="D1" s="1" t="s">
        <v>22</v>
      </c>
      <c r="E1" s="1" t="s">
        <v>23</v>
      </c>
      <c r="F1" s="1" t="s">
        <v>24</v>
      </c>
      <c r="G1" s="1" t="s">
        <v>25</v>
      </c>
      <c r="H1" s="1" t="s">
        <v>26</v>
      </c>
      <c r="I1" s="1" t="s">
        <v>27</v>
      </c>
      <c r="J1" s="1" t="s">
        <v>28</v>
      </c>
      <c r="K1" s="1" t="s">
        <v>29</v>
      </c>
      <c r="L1" s="1" t="s">
        <v>30</v>
      </c>
      <c r="M1" s="1" t="s">
        <v>31</v>
      </c>
      <c r="N1" s="1" t="s">
        <v>32</v>
      </c>
      <c r="O1" s="1" t="s">
        <v>33</v>
      </c>
      <c r="P1" s="1" t="s">
        <v>34</v>
      </c>
      <c r="Q1" s="1" t="s">
        <v>201</v>
      </c>
      <c r="R1" s="1" t="s">
        <v>202</v>
      </c>
      <c r="S1" s="1" t="s">
        <v>35</v>
      </c>
      <c r="T1" s="1" t="s">
        <v>36</v>
      </c>
    </row>
    <row r="2" spans="1:20" x14ac:dyDescent="0.25">
      <c r="A2" s="2" t="s">
        <v>37</v>
      </c>
      <c r="B2" s="2" t="s">
        <v>38</v>
      </c>
      <c r="C2" s="2" t="s">
        <v>97</v>
      </c>
      <c r="D2" s="2" t="s">
        <v>341</v>
      </c>
      <c r="E2" s="2" t="s">
        <v>342</v>
      </c>
      <c r="F2" s="2" t="s">
        <v>42</v>
      </c>
      <c r="G2" s="2" t="s">
        <v>7</v>
      </c>
      <c r="H2" s="2" t="s">
        <v>54</v>
      </c>
      <c r="I2" s="3">
        <v>43121.41666666667</v>
      </c>
      <c r="J2" s="2" t="s">
        <v>343</v>
      </c>
      <c r="K2" s="2" t="s">
        <v>344</v>
      </c>
      <c r="L2" s="4">
        <v>124.76</v>
      </c>
      <c r="M2" s="5">
        <f>IF(AND(ISNUMBER(N2),ISNUMBER(L2),L2&gt;0),ROUND(N2/L2,2),"")</f>
        <v>29374</v>
      </c>
      <c r="N2" s="6">
        <v>3664700</v>
      </c>
      <c r="O2" s="7">
        <v>366.47</v>
      </c>
      <c r="P2" s="8">
        <f>IF(AND(ISNUMBER(N2),ISNUMBER(O2),O2&gt;0),N2/(O2*10000),"")</f>
        <v>0.9999999999999999</v>
      </c>
      <c r="Q2" s="6">
        <v>0</v>
      </c>
      <c r="R2" s="6">
        <v>0</v>
      </c>
      <c r="S2" s="9" t="s">
        <v>45</v>
      </c>
      <c r="T2" s="9" t="s">
        <v>345</v>
      </c>
    </row>
    <row r="3" spans="1:20" x14ac:dyDescent="0.25">
      <c r="A3" s="2" t="s">
        <v>37</v>
      </c>
      <c r="B3" s="2" t="s">
        <v>38</v>
      </c>
      <c r="C3" s="2" t="s">
        <v>97</v>
      </c>
      <c r="D3" s="2" t="s">
        <v>203</v>
      </c>
      <c r="E3" s="2" t="s">
        <v>204</v>
      </c>
      <c r="F3" s="2" t="s">
        <v>42</v>
      </c>
      <c r="G3" s="2" t="s">
        <v>7</v>
      </c>
      <c r="H3" s="2" t="s">
        <v>54</v>
      </c>
      <c r="I3" s="3">
        <v>43464.41666666667</v>
      </c>
      <c r="J3" s="2" t="s">
        <v>343</v>
      </c>
      <c r="K3" s="2" t="s">
        <v>206</v>
      </c>
      <c r="L3" s="4">
        <v>197.29</v>
      </c>
      <c r="M3" s="5">
        <f>IF(AND(ISNUMBER(N3),ISNUMBER(L3),L3&gt;0),ROUND(N3/L3,2),"")</f>
        <v>21560.04</v>
      </c>
      <c r="N3" s="6">
        <v>4253580</v>
      </c>
      <c r="O3" s="7">
        <v>607.6532</v>
      </c>
      <c r="P3" s="8">
        <f>IF(AND(ISNUMBER(N3),ISNUMBER(O3),O3&gt;0),N3/(O3*10000),"")</f>
        <v>0.7000012507134004</v>
      </c>
      <c r="Q3" s="6">
        <v>0</v>
      </c>
      <c r="R3" s="6">
        <v>0</v>
      </c>
      <c r="S3" s="9" t="s">
        <v>45</v>
      </c>
      <c r="T3" s="9" t="s">
        <v>346</v>
      </c>
    </row>
    <row r="4" spans="1:20" x14ac:dyDescent="0.25">
      <c r="A4" s="2" t="s">
        <v>37</v>
      </c>
      <c r="B4" s="2" t="s">
        <v>38</v>
      </c>
      <c r="C4" s="2" t="s">
        <v>39</v>
      </c>
      <c r="D4" s="2" t="s">
        <v>347</v>
      </c>
      <c r="E4" s="2" t="s">
        <v>348</v>
      </c>
      <c r="F4" s="2" t="s">
        <v>349</v>
      </c>
      <c r="G4" s="2" t="s">
        <v>7</v>
      </c>
      <c r="H4" s="2" t="s">
        <v>54</v>
      </c>
      <c r="I4" s="3">
        <v>43578.41666666667</v>
      </c>
      <c r="J4" s="2" t="s">
        <v>343</v>
      </c>
      <c r="K4" s="2" t="s">
        <v>100</v>
      </c>
      <c r="L4" s="4">
        <v>30.09</v>
      </c>
      <c r="M4" s="5">
        <f>IF(AND(ISNUMBER(N4),ISNUMBER(L4),L4&gt;0),ROUND(N4/L4,2),"")</f>
        <v>9463.01</v>
      </c>
      <c r="N4" s="6">
        <v>284742</v>
      </c>
      <c r="O4" s="7">
        <v>28.4742</v>
      </c>
      <c r="P4" s="8">
        <f>IF(AND(ISNUMBER(N4),ISNUMBER(O4),O4&gt;0),N4/(O4*10000),"")</f>
        <v>1</v>
      </c>
      <c r="Q4" s="6">
        <v>0</v>
      </c>
      <c r="R4" s="6">
        <v>0</v>
      </c>
      <c r="S4" s="9" t="s">
        <v>45</v>
      </c>
      <c r="T4" s="9" t="s">
        <v>350</v>
      </c>
    </row>
    <row r="5" spans="1:20" x14ac:dyDescent="0.25">
      <c r="A5" s="2" t="s">
        <v>37</v>
      </c>
      <c r="B5" s="2" t="s">
        <v>38</v>
      </c>
      <c r="C5" s="2" t="s">
        <v>39</v>
      </c>
      <c r="D5" s="2" t="s">
        <v>347</v>
      </c>
      <c r="E5" s="2" t="s">
        <v>348</v>
      </c>
      <c r="F5" s="2" t="s">
        <v>349</v>
      </c>
      <c r="G5" s="2" t="s">
        <v>7</v>
      </c>
      <c r="H5" s="2" t="s">
        <v>43</v>
      </c>
      <c r="I5" s="3">
        <v>43596.41666666667</v>
      </c>
      <c r="J5" s="2" t="s">
        <v>343</v>
      </c>
      <c r="K5" s="2" t="s">
        <v>100</v>
      </c>
      <c r="L5" s="4">
        <v>30.09</v>
      </c>
      <c r="M5" s="5">
        <f>IF(AND(ISNUMBER(N5),ISNUMBER(L5),L5&gt;0),ROUND(N5/L5,2),"")</f>
        <v>8516.72</v>
      </c>
      <c r="N5" s="6">
        <v>256268</v>
      </c>
      <c r="O5" s="7">
        <v>28.4742</v>
      </c>
      <c r="P5" s="8">
        <f>IF(AND(ISNUMBER(N5),ISNUMBER(O5),O5&gt;0),N5/(O5*10000),"")</f>
        <v>0.900000702390234</v>
      </c>
      <c r="Q5" s="6">
        <v>0</v>
      </c>
      <c r="R5" s="6">
        <v>0</v>
      </c>
      <c r="S5" s="9" t="s">
        <v>45</v>
      </c>
      <c r="T5" s="9" t="s">
        <v>351</v>
      </c>
    </row>
    <row r="6" spans="1:20" x14ac:dyDescent="0.25">
      <c r="A6" s="2" t="s">
        <v>37</v>
      </c>
      <c r="B6" s="2" t="s">
        <v>38</v>
      </c>
      <c r="C6" s="2" t="s">
        <v>39</v>
      </c>
      <c r="D6" s="2" t="s">
        <v>347</v>
      </c>
      <c r="E6" s="2" t="s">
        <v>348</v>
      </c>
      <c r="F6" s="2" t="s">
        <v>349</v>
      </c>
      <c r="G6" s="2" t="s">
        <v>7</v>
      </c>
      <c r="H6" s="2" t="s">
        <v>95</v>
      </c>
      <c r="I6" s="3">
        <v>43672.41666666667</v>
      </c>
      <c r="J6" s="2" t="s">
        <v>343</v>
      </c>
      <c r="K6" s="2" t="s">
        <v>100</v>
      </c>
      <c r="L6" s="4">
        <v>30.09</v>
      </c>
      <c r="M6" s="5">
        <f>IF(AND(ISNUMBER(N6),ISNUMBER(L6),L6&gt;0),ROUND(N6/L6,2),"")</f>
        <v>8516.72</v>
      </c>
      <c r="N6" s="6">
        <v>256268</v>
      </c>
      <c r="O6" s="7">
        <v>28.4742</v>
      </c>
      <c r="P6" s="8">
        <f>IF(AND(ISNUMBER(N6),ISNUMBER(O6),O6&gt;0),N6/(O6*10000),"")</f>
        <v>0.900000702390234</v>
      </c>
      <c r="Q6" s="6">
        <v>0</v>
      </c>
      <c r="R6" s="6">
        <v>0</v>
      </c>
      <c r="S6" s="9" t="s">
        <v>45</v>
      </c>
      <c r="T6" s="9" t="s">
        <v>352</v>
      </c>
    </row>
    <row r="7" spans="1:20" x14ac:dyDescent="0.25">
      <c r="A7" s="2" t="s">
        <v>37</v>
      </c>
      <c r="B7" s="2" t="s">
        <v>38</v>
      </c>
      <c r="C7" s="2" t="s">
        <v>60</v>
      </c>
      <c r="D7" s="2" t="s">
        <v>212</v>
      </c>
      <c r="E7" s="2" t="s">
        <v>53</v>
      </c>
      <c r="F7" s="2" t="s">
        <v>42</v>
      </c>
      <c r="G7" s="2" t="s">
        <v>7</v>
      </c>
      <c r="H7" s="2" t="s">
        <v>54</v>
      </c>
      <c r="I7" s="3">
        <v>43674.41666666667</v>
      </c>
      <c r="J7" s="2" t="s">
        <v>343</v>
      </c>
      <c r="K7" s="2" t="s">
        <v>213</v>
      </c>
      <c r="L7" s="4">
        <v>156.91</v>
      </c>
      <c r="M7" s="5">
        <f>IF(AND(ISNUMBER(N7),ISNUMBER(L7),L7&gt;0),ROUND(N7/L7,2),"")</f>
        <v>12746.16</v>
      </c>
      <c r="N7" s="6">
        <v>2000000</v>
      </c>
      <c r="O7" s="7">
        <v>284.43</v>
      </c>
      <c r="P7" s="8">
        <f>IF(AND(ISNUMBER(N7),ISNUMBER(O7),O7&gt;0),N7/(O7*10000),"")</f>
        <v>0.7031607073796716</v>
      </c>
      <c r="Q7" s="6">
        <v>0</v>
      </c>
      <c r="R7" s="6">
        <v>0</v>
      </c>
      <c r="S7" s="9" t="s">
        <v>45</v>
      </c>
      <c r="T7" s="9" t="s">
        <v>353</v>
      </c>
    </row>
    <row r="8" spans="1:20" x14ac:dyDescent="0.25">
      <c r="A8" s="2" t="s">
        <v>37</v>
      </c>
      <c r="B8" s="2" t="s">
        <v>38</v>
      </c>
      <c r="C8" s="2" t="s">
        <v>60</v>
      </c>
      <c r="D8" s="2" t="s">
        <v>354</v>
      </c>
      <c r="E8" s="2" t="s">
        <v>355</v>
      </c>
      <c r="F8" s="2" t="s">
        <v>42</v>
      </c>
      <c r="G8" s="2" t="s">
        <v>7</v>
      </c>
      <c r="H8" s="2" t="s">
        <v>54</v>
      </c>
      <c r="I8" s="3">
        <v>43780.41666666667</v>
      </c>
      <c r="J8" s="2" t="s">
        <v>343</v>
      </c>
      <c r="K8" s="2" t="s">
        <v>356</v>
      </c>
      <c r="L8" s="4">
        <v>160.69</v>
      </c>
      <c r="M8" s="5">
        <f>IF(AND(ISNUMBER(N8),ISNUMBER(L8),L8&gt;0),ROUND(N8/L8,2),"")</f>
        <v>6845.48</v>
      </c>
      <c r="N8" s="6">
        <v>1100000</v>
      </c>
      <c r="O8" s="7">
        <v>110</v>
      </c>
      <c r="P8" s="8">
        <f>IF(AND(ISNUMBER(N8),ISNUMBER(O8),O8&gt;0),N8/(O8*10000),"")</f>
        <v>1</v>
      </c>
      <c r="Q8" s="6">
        <v>0</v>
      </c>
      <c r="R8" s="6">
        <v>0</v>
      </c>
      <c r="S8" s="9" t="s">
        <v>45</v>
      </c>
      <c r="T8" s="9" t="s">
        <v>357</v>
      </c>
    </row>
    <row r="9" spans="1:20" x14ac:dyDescent="0.25">
      <c r="A9" s="2" t="s">
        <v>37</v>
      </c>
      <c r="B9" s="2" t="s">
        <v>38</v>
      </c>
      <c r="C9" s="2" t="s">
        <v>217</v>
      </c>
      <c r="D9" s="2" t="s">
        <v>218</v>
      </c>
      <c r="E9" s="2" t="s">
        <v>53</v>
      </c>
      <c r="F9" s="2" t="s">
        <v>42</v>
      </c>
      <c r="G9" s="2" t="s">
        <v>7</v>
      </c>
      <c r="H9" s="2" t="s">
        <v>54</v>
      </c>
      <c r="I9" s="3">
        <v>43830.41666666667</v>
      </c>
      <c r="J9" s="2" t="s">
        <v>343</v>
      </c>
      <c r="K9" s="2" t="s">
        <v>219</v>
      </c>
      <c r="L9" s="4">
        <v>134.27</v>
      </c>
      <c r="M9" s="5">
        <f>IF(AND(ISNUMBER(N9),ISNUMBER(L9),L9&gt;0),ROUND(N9/L9,2),"")</f>
        <v>3333.58</v>
      </c>
      <c r="N9" s="6">
        <v>447600</v>
      </c>
      <c r="O9" s="7">
        <v>55.95</v>
      </c>
      <c r="P9" s="8">
        <f>IF(AND(ISNUMBER(N9),ISNUMBER(O9),O9&gt;0),N9/(O9*10000),"")</f>
        <v>0.8</v>
      </c>
      <c r="Q9" s="6">
        <v>0</v>
      </c>
      <c r="R9" s="6">
        <v>0</v>
      </c>
      <c r="S9" s="9" t="s">
        <v>45</v>
      </c>
      <c r="T9" s="9" t="s">
        <v>358</v>
      </c>
    </row>
    <row r="10" spans="1:20" x14ac:dyDescent="0.25">
      <c r="A10" s="2" t="s">
        <v>37</v>
      </c>
      <c r="B10" s="2" t="s">
        <v>38</v>
      </c>
      <c r="C10" s="2" t="s">
        <v>39</v>
      </c>
      <c r="D10" s="2" t="s">
        <v>359</v>
      </c>
      <c r="E10" s="2" t="s">
        <v>360</v>
      </c>
      <c r="F10" s="2" t="s">
        <v>42</v>
      </c>
      <c r="G10" s="2" t="s">
        <v>7</v>
      </c>
      <c r="H10" s="2" t="s">
        <v>54</v>
      </c>
      <c r="I10" s="3">
        <v>43838.41666666667</v>
      </c>
      <c r="J10" s="2" t="s">
        <v>343</v>
      </c>
      <c r="K10" s="2" t="s">
        <v>361</v>
      </c>
      <c r="L10" s="4">
        <v>149.28</v>
      </c>
      <c r="M10" s="5">
        <f>IF(AND(ISNUMBER(N10),ISNUMBER(L10),L10&gt;0),ROUND(N10/L10,2),"")</f>
        <v>22466.02</v>
      </c>
      <c r="N10" s="6">
        <v>3353728</v>
      </c>
      <c r="O10" s="7">
        <v>335.3728</v>
      </c>
      <c r="P10" s="8">
        <f>IF(AND(ISNUMBER(N10),ISNUMBER(O10),O10&gt;0),N10/(O10*10000),"")</f>
        <v>1</v>
      </c>
      <c r="Q10" s="6">
        <v>0</v>
      </c>
      <c r="R10" s="6">
        <v>0</v>
      </c>
      <c r="S10" s="9" t="s">
        <v>45</v>
      </c>
      <c r="T10" s="9" t="s">
        <v>362</v>
      </c>
    </row>
    <row r="11" spans="1:20" x14ac:dyDescent="0.25">
      <c r="A11" s="2" t="s">
        <v>37</v>
      </c>
      <c r="B11" s="2" t="s">
        <v>38</v>
      </c>
      <c r="C11" s="2" t="s">
        <v>39</v>
      </c>
      <c r="D11" s="2" t="s">
        <v>359</v>
      </c>
      <c r="E11" s="2" t="s">
        <v>360</v>
      </c>
      <c r="F11" s="2" t="s">
        <v>42</v>
      </c>
      <c r="G11" s="2" t="s">
        <v>7</v>
      </c>
      <c r="H11" s="2" t="s">
        <v>43</v>
      </c>
      <c r="I11" s="3">
        <v>43863.41666666667</v>
      </c>
      <c r="J11" s="2" t="s">
        <v>343</v>
      </c>
      <c r="K11" s="2" t="s">
        <v>361</v>
      </c>
      <c r="L11" s="4">
        <v>149.28</v>
      </c>
      <c r="M11" s="5">
        <f>IF(AND(ISNUMBER(N11),ISNUMBER(L11),L11&gt;0),ROUND(N11/L11,2),"")</f>
        <v>20219.42</v>
      </c>
      <c r="N11" s="6">
        <v>3018355</v>
      </c>
      <c r="O11" s="7">
        <v>335.3728</v>
      </c>
      <c r="P11" s="8">
        <f>IF(AND(ISNUMBER(N11),ISNUMBER(O11),O11&gt;0),N11/(O11*10000),"")</f>
        <v>0.8999999403648715</v>
      </c>
      <c r="Q11" s="6">
        <v>0</v>
      </c>
      <c r="R11" s="6">
        <v>0</v>
      </c>
      <c r="S11" s="9" t="s">
        <v>45</v>
      </c>
      <c r="T11" s="9" t="s">
        <v>363</v>
      </c>
    </row>
    <row r="12" spans="1:20" x14ac:dyDescent="0.25">
      <c r="A12" s="2" t="s">
        <v>37</v>
      </c>
      <c r="B12" s="2" t="s">
        <v>38</v>
      </c>
      <c r="C12" s="2" t="s">
        <v>97</v>
      </c>
      <c r="D12" s="2" t="s">
        <v>221</v>
      </c>
      <c r="E12" s="2" t="s">
        <v>53</v>
      </c>
      <c r="F12" s="2" t="s">
        <v>42</v>
      </c>
      <c r="G12" s="2" t="s">
        <v>7</v>
      </c>
      <c r="H12" s="2" t="s">
        <v>54</v>
      </c>
      <c r="I12" s="3">
        <v>43916.41666666667</v>
      </c>
      <c r="J12" s="2" t="s">
        <v>343</v>
      </c>
      <c r="K12" s="2" t="s">
        <v>100</v>
      </c>
      <c r="L12" s="4">
        <v>769.05</v>
      </c>
      <c r="M12" s="5">
        <f>IF(AND(ISNUMBER(N12),ISNUMBER(L12),L12&gt;0),ROUND(N12/L12,2),"")</f>
        <v>4194.35</v>
      </c>
      <c r="N12" s="6">
        <v>3225663</v>
      </c>
      <c r="O12" s="7">
        <v>460.809</v>
      </c>
      <c r="P12" s="8">
        <f>IF(AND(ISNUMBER(N12),ISNUMBER(O12),O12&gt;0),N12/(O12*10000),"")</f>
        <v>0.7</v>
      </c>
      <c r="Q12" s="6">
        <v>0</v>
      </c>
      <c r="R12" s="6">
        <v>1</v>
      </c>
      <c r="S12" s="9" t="s">
        <v>45</v>
      </c>
      <c r="T12" s="9" t="s">
        <v>364</v>
      </c>
    </row>
    <row r="13" spans="1:20" x14ac:dyDescent="0.25">
      <c r="A13" s="2" t="s">
        <v>37</v>
      </c>
      <c r="B13" s="2" t="s">
        <v>38</v>
      </c>
      <c r="C13" s="2" t="s">
        <v>71</v>
      </c>
      <c r="D13" s="2" t="s">
        <v>365</v>
      </c>
      <c r="E13" s="2" t="s">
        <v>53</v>
      </c>
      <c r="F13" s="2" t="s">
        <v>349</v>
      </c>
      <c r="G13" s="2" t="s">
        <v>7</v>
      </c>
      <c r="H13" s="2" t="s">
        <v>54</v>
      </c>
      <c r="I13" s="3">
        <v>43971.41666666667</v>
      </c>
      <c r="J13" s="2" t="s">
        <v>343</v>
      </c>
      <c r="K13" s="2" t="s">
        <v>366</v>
      </c>
      <c r="L13" s="11" t="s">
        <v>307</v>
      </c>
      <c r="M13" s="5" t="str">
        <f>IF(AND(ISNUMBER(N13),ISNUMBER(L13),L13&gt;0),ROUND(N13/L13,2),"")</f>
        <v/>
      </c>
      <c r="N13" s="6">
        <v>76000</v>
      </c>
      <c r="O13" s="7">
        <v>10.78</v>
      </c>
      <c r="P13" s="8">
        <f>IF(AND(ISNUMBER(N13),ISNUMBER(O13),O13&gt;0),N13/(O13*10000),"")</f>
        <v>0.7050092764378478</v>
      </c>
      <c r="Q13" s="6">
        <v>0</v>
      </c>
      <c r="R13" s="6">
        <v>1</v>
      </c>
      <c r="S13" s="2" t="s">
        <v>367</v>
      </c>
      <c r="T13" s="9" t="s">
        <v>368</v>
      </c>
    </row>
    <row r="14" spans="1:20" x14ac:dyDescent="0.25">
      <c r="A14" s="2" t="s">
        <v>37</v>
      </c>
      <c r="B14" s="2" t="s">
        <v>38</v>
      </c>
      <c r="C14" s="2" t="s">
        <v>39</v>
      </c>
      <c r="D14" s="2" t="s">
        <v>359</v>
      </c>
      <c r="E14" s="2" t="s">
        <v>360</v>
      </c>
      <c r="F14" s="2" t="s">
        <v>42</v>
      </c>
      <c r="G14" s="2" t="s">
        <v>7</v>
      </c>
      <c r="H14" s="2" t="s">
        <v>95</v>
      </c>
      <c r="I14" s="3">
        <v>43982.41666666667</v>
      </c>
      <c r="J14" s="2" t="s">
        <v>343</v>
      </c>
      <c r="K14" s="2" t="s">
        <v>361</v>
      </c>
      <c r="L14" s="4">
        <v>149.28</v>
      </c>
      <c r="M14" s="5">
        <f>IF(AND(ISNUMBER(N14),ISNUMBER(L14),L14&gt;0),ROUND(N14/L14,2),"")</f>
        <v>20219.42</v>
      </c>
      <c r="N14" s="6">
        <v>3018355</v>
      </c>
      <c r="O14" s="7">
        <v>335.3728</v>
      </c>
      <c r="P14" s="8">
        <f>IF(AND(ISNUMBER(N14),ISNUMBER(O14),O14&gt;0),N14/(O14*10000),"")</f>
        <v>0.8999999403648715</v>
      </c>
      <c r="Q14" s="6">
        <v>0</v>
      </c>
      <c r="R14" s="6">
        <v>0</v>
      </c>
      <c r="S14" s="9" t="s">
        <v>45</v>
      </c>
      <c r="T14" s="9" t="s">
        <v>369</v>
      </c>
    </row>
    <row r="15" spans="1:20" x14ac:dyDescent="0.25">
      <c r="A15" s="2" t="s">
        <v>37</v>
      </c>
      <c r="B15" s="2" t="s">
        <v>38</v>
      </c>
      <c r="C15" s="2" t="s">
        <v>97</v>
      </c>
      <c r="D15" s="2" t="s">
        <v>370</v>
      </c>
      <c r="E15" s="2" t="s">
        <v>53</v>
      </c>
      <c r="F15" s="2" t="s">
        <v>42</v>
      </c>
      <c r="G15" s="2" t="s">
        <v>7</v>
      </c>
      <c r="H15" s="2" t="s">
        <v>54</v>
      </c>
      <c r="I15" s="3">
        <v>43984.41666666667</v>
      </c>
      <c r="J15" s="2" t="s">
        <v>343</v>
      </c>
      <c r="K15" s="2" t="s">
        <v>206</v>
      </c>
      <c r="L15" s="4">
        <v>92.06</v>
      </c>
      <c r="M15" s="5">
        <f>IF(AND(ISNUMBER(N15),ISNUMBER(L15),L15&gt;0),ROUND(N15/L15,2),"")</f>
        <v>48881.16</v>
      </c>
      <c r="N15" s="6">
        <v>4500000</v>
      </c>
      <c r="O15" s="7">
        <v>450</v>
      </c>
      <c r="P15" s="8">
        <f>IF(AND(ISNUMBER(N15),ISNUMBER(O15),O15&gt;0),N15/(O15*10000),"")</f>
        <v>1</v>
      </c>
      <c r="Q15" s="6">
        <v>0</v>
      </c>
      <c r="R15" s="6">
        <v>0</v>
      </c>
      <c r="S15" s="9" t="s">
        <v>45</v>
      </c>
      <c r="T15" s="9" t="s">
        <v>371</v>
      </c>
    </row>
    <row r="16" spans="1:20" x14ac:dyDescent="0.25">
      <c r="A16" s="2" t="s">
        <v>37</v>
      </c>
      <c r="B16" s="2" t="s">
        <v>38</v>
      </c>
      <c r="C16" s="2" t="s">
        <v>97</v>
      </c>
      <c r="D16" s="2" t="s">
        <v>370</v>
      </c>
      <c r="E16" s="2" t="s">
        <v>53</v>
      </c>
      <c r="F16" s="2" t="s">
        <v>42</v>
      </c>
      <c r="G16" s="2" t="s">
        <v>7</v>
      </c>
      <c r="H16" s="2" t="s">
        <v>43</v>
      </c>
      <c r="I16" s="3">
        <v>44009.41666666667</v>
      </c>
      <c r="J16" s="2" t="s">
        <v>343</v>
      </c>
      <c r="K16" s="2" t="s">
        <v>206</v>
      </c>
      <c r="L16" s="4">
        <v>92.06</v>
      </c>
      <c r="M16" s="5">
        <f>IF(AND(ISNUMBER(N16),ISNUMBER(L16),L16&gt;0),ROUND(N16/L16,2),"")</f>
        <v>39104.93</v>
      </c>
      <c r="N16" s="6">
        <v>3600000</v>
      </c>
      <c r="O16" s="7">
        <v>450</v>
      </c>
      <c r="P16" s="8">
        <f>IF(AND(ISNUMBER(N16),ISNUMBER(O16),O16&gt;0),N16/(O16*10000),"")</f>
        <v>0.8</v>
      </c>
      <c r="Q16" s="6">
        <v>0</v>
      </c>
      <c r="R16" s="6">
        <v>0</v>
      </c>
      <c r="S16" s="9" t="s">
        <v>45</v>
      </c>
      <c r="T16" s="9" t="s">
        <v>372</v>
      </c>
    </row>
    <row r="17" spans="1:20" x14ac:dyDescent="0.25">
      <c r="A17" s="2" t="s">
        <v>37</v>
      </c>
      <c r="B17" s="2" t="s">
        <v>38</v>
      </c>
      <c r="C17" s="2" t="s">
        <v>75</v>
      </c>
      <c r="D17" s="2" t="s">
        <v>373</v>
      </c>
      <c r="E17" s="2" t="s">
        <v>53</v>
      </c>
      <c r="F17" s="2" t="s">
        <v>42</v>
      </c>
      <c r="G17" s="2" t="s">
        <v>7</v>
      </c>
      <c r="H17" s="2" t="s">
        <v>54</v>
      </c>
      <c r="I17" s="3">
        <v>44018.41666666667</v>
      </c>
      <c r="J17" s="2" t="s">
        <v>343</v>
      </c>
      <c r="K17" s="2" t="s">
        <v>100</v>
      </c>
      <c r="L17" s="4">
        <v>79.45</v>
      </c>
      <c r="M17" s="5">
        <f>IF(AND(ISNUMBER(N17),ISNUMBER(L17),L17&gt;0),ROUND(N17/L17,2),"")</f>
        <v>18401.51</v>
      </c>
      <c r="N17" s="6">
        <v>1462000</v>
      </c>
      <c r="O17" s="7">
        <v>172</v>
      </c>
      <c r="P17" s="8">
        <f>IF(AND(ISNUMBER(N17),ISNUMBER(O17),O17&gt;0),N17/(O17*10000),"")</f>
        <v>0.85</v>
      </c>
      <c r="Q17" s="6">
        <v>0</v>
      </c>
      <c r="R17" s="6">
        <v>0</v>
      </c>
      <c r="S17" s="9" t="s">
        <v>45</v>
      </c>
      <c r="T17" s="9" t="s">
        <v>374</v>
      </c>
    </row>
    <row r="18" spans="1:20" x14ac:dyDescent="0.25">
      <c r="A18" s="2" t="s">
        <v>37</v>
      </c>
      <c r="B18" s="2" t="s">
        <v>38</v>
      </c>
      <c r="C18" s="2" t="s">
        <v>71</v>
      </c>
      <c r="D18" s="2" t="s">
        <v>365</v>
      </c>
      <c r="E18" s="2" t="s">
        <v>53</v>
      </c>
      <c r="F18" s="2" t="s">
        <v>349</v>
      </c>
      <c r="G18" s="2" t="s">
        <v>7</v>
      </c>
      <c r="H18" s="2" t="s">
        <v>43</v>
      </c>
      <c r="I18" s="3">
        <v>44020.41666666667</v>
      </c>
      <c r="J18" s="2" t="s">
        <v>343</v>
      </c>
      <c r="K18" s="2" t="s">
        <v>366</v>
      </c>
      <c r="L18" s="11" t="s">
        <v>307</v>
      </c>
      <c r="M18" s="5" t="str">
        <f>IF(AND(ISNUMBER(N18),ISNUMBER(L18),L18&gt;0),ROUND(N18/L18,2),"")</f>
        <v/>
      </c>
      <c r="N18" s="6">
        <v>61000</v>
      </c>
      <c r="O18" s="7">
        <v>10.78</v>
      </c>
      <c r="P18" s="8">
        <f>IF(AND(ISNUMBER(N18),ISNUMBER(O18),O18&gt;0),N18/(O18*10000),"")</f>
        <v>0.5658627087198516</v>
      </c>
      <c r="Q18" s="6">
        <v>0</v>
      </c>
      <c r="R18" s="6">
        <v>0</v>
      </c>
      <c r="S18" s="2" t="s">
        <v>367</v>
      </c>
      <c r="T18" s="9" t="s">
        <v>375</v>
      </c>
    </row>
    <row r="19" spans="1:20" x14ac:dyDescent="0.25">
      <c r="A19" s="2" t="s">
        <v>37</v>
      </c>
      <c r="B19" s="2" t="s">
        <v>38</v>
      </c>
      <c r="C19" s="2" t="s">
        <v>376</v>
      </c>
      <c r="D19" s="2" t="s">
        <v>377</v>
      </c>
      <c r="E19" s="2" t="s">
        <v>378</v>
      </c>
      <c r="F19" s="2" t="s">
        <v>42</v>
      </c>
      <c r="G19" s="2" t="s">
        <v>7</v>
      </c>
      <c r="H19" s="2" t="s">
        <v>54</v>
      </c>
      <c r="I19" s="3">
        <v>44379.41666666667</v>
      </c>
      <c r="J19" s="2" t="s">
        <v>343</v>
      </c>
      <c r="K19" s="2" t="s">
        <v>379</v>
      </c>
      <c r="L19" s="4">
        <v>110.88</v>
      </c>
      <c r="M19" s="5">
        <f>IF(AND(ISNUMBER(N19),ISNUMBER(L19),L19&gt;0),ROUND(N19/L19,2),"")</f>
        <v>4600.89</v>
      </c>
      <c r="N19" s="6">
        <v>510146.67</v>
      </c>
      <c r="O19" s="7">
        <v>51.014666999999996</v>
      </c>
      <c r="P19" s="8">
        <f>IF(AND(ISNUMBER(N19),ISNUMBER(O19),O19&gt;0),N19/(O19*10000),"")</f>
        <v>1</v>
      </c>
      <c r="Q19" s="6">
        <v>0</v>
      </c>
      <c r="R19" s="6">
        <v>0</v>
      </c>
      <c r="S19" s="9" t="s">
        <v>45</v>
      </c>
      <c r="T19" s="9" t="s">
        <v>380</v>
      </c>
    </row>
    <row r="20" spans="1:20" x14ac:dyDescent="0.25">
      <c r="A20" s="2" t="s">
        <v>37</v>
      </c>
      <c r="B20" s="2" t="s">
        <v>38</v>
      </c>
      <c r="C20" s="2" t="s">
        <v>376</v>
      </c>
      <c r="D20" s="2" t="s">
        <v>377</v>
      </c>
      <c r="E20" s="2" t="s">
        <v>378</v>
      </c>
      <c r="F20" s="2" t="s">
        <v>42</v>
      </c>
      <c r="G20" s="2" t="s">
        <v>7</v>
      </c>
      <c r="H20" s="2" t="s">
        <v>43</v>
      </c>
      <c r="I20" s="3">
        <v>44401.41666666667</v>
      </c>
      <c r="J20" s="2" t="s">
        <v>343</v>
      </c>
      <c r="K20" s="2" t="s">
        <v>379</v>
      </c>
      <c r="L20" s="4">
        <v>110.88</v>
      </c>
      <c r="M20" s="5">
        <f>IF(AND(ISNUMBER(N20),ISNUMBER(L20),L20&gt;0),ROUND(N20/L20,2),"")</f>
        <v>3680.71</v>
      </c>
      <c r="N20" s="6">
        <v>408117.34</v>
      </c>
      <c r="O20" s="7">
        <v>51.014666999999996</v>
      </c>
      <c r="P20" s="8">
        <f>IF(AND(ISNUMBER(N20),ISNUMBER(O20),O20&gt;0),N20/(O20*10000),"")</f>
        <v>0.8000000078408824</v>
      </c>
      <c r="Q20" s="6">
        <v>0</v>
      </c>
      <c r="R20" s="6">
        <v>0</v>
      </c>
      <c r="S20" s="9" t="s">
        <v>45</v>
      </c>
      <c r="T20" s="9" t="s">
        <v>381</v>
      </c>
    </row>
    <row r="21" spans="1:20" x14ac:dyDescent="0.25">
      <c r="A21" s="2" t="s">
        <v>37</v>
      </c>
      <c r="B21" s="2" t="s">
        <v>38</v>
      </c>
      <c r="C21" s="2" t="s">
        <v>75</v>
      </c>
      <c r="D21" s="2" t="s">
        <v>382</v>
      </c>
      <c r="E21" s="2" t="s">
        <v>383</v>
      </c>
      <c r="F21" s="2" t="s">
        <v>42</v>
      </c>
      <c r="G21" s="2" t="s">
        <v>7</v>
      </c>
      <c r="H21" s="2" t="s">
        <v>54</v>
      </c>
      <c r="I21" s="3">
        <v>44405.41666666667</v>
      </c>
      <c r="J21" s="2" t="s">
        <v>343</v>
      </c>
      <c r="K21" s="2" t="s">
        <v>384</v>
      </c>
      <c r="L21" s="4">
        <v>183.35</v>
      </c>
      <c r="M21" s="5">
        <f>IF(AND(ISNUMBER(N21),ISNUMBER(L21),L21&gt;0),ROUND(N21/L21,2),"")</f>
        <v>36818.91</v>
      </c>
      <c r="N21" s="6">
        <v>6750747</v>
      </c>
      <c r="O21" s="7">
        <v>964.3923</v>
      </c>
      <c r="P21" s="8">
        <f>IF(AND(ISNUMBER(N21),ISNUMBER(O21),O21&gt;0),N21/(O21*10000),"")</f>
        <v>0.700000093323018</v>
      </c>
      <c r="Q21" s="6">
        <v>0</v>
      </c>
      <c r="R21" s="6">
        <v>0</v>
      </c>
      <c r="S21" s="9" t="s">
        <v>45</v>
      </c>
      <c r="T21" s="9" t="s">
        <v>385</v>
      </c>
    </row>
    <row r="22" spans="1:20" x14ac:dyDescent="0.25">
      <c r="A22" s="2" t="s">
        <v>37</v>
      </c>
      <c r="B22" s="2" t="s">
        <v>38</v>
      </c>
      <c r="C22" s="2" t="s">
        <v>376</v>
      </c>
      <c r="D22" s="2" t="s">
        <v>377</v>
      </c>
      <c r="E22" s="2" t="s">
        <v>378</v>
      </c>
      <c r="F22" s="2" t="s">
        <v>42</v>
      </c>
      <c r="G22" s="2" t="s">
        <v>7</v>
      </c>
      <c r="H22" s="2" t="s">
        <v>95</v>
      </c>
      <c r="I22" s="3">
        <v>44484.41666666667</v>
      </c>
      <c r="J22" s="2" t="s">
        <v>343</v>
      </c>
      <c r="K22" s="2" t="s">
        <v>379</v>
      </c>
      <c r="L22" s="4">
        <v>110.88</v>
      </c>
      <c r="M22" s="5">
        <f>IF(AND(ISNUMBER(N22),ISNUMBER(L22),L22&gt;0),ROUND(N22/L22,2),"")</f>
        <v>3680.71</v>
      </c>
      <c r="N22" s="6">
        <v>408117.34</v>
      </c>
      <c r="O22" s="7">
        <v>51.014666999999996</v>
      </c>
      <c r="P22" s="8">
        <f>IF(AND(ISNUMBER(N22),ISNUMBER(O22),O22&gt;0),N22/(O22*10000),"")</f>
        <v>0.8000000078408824</v>
      </c>
      <c r="Q22" s="6">
        <v>0</v>
      </c>
      <c r="R22" s="6">
        <v>0</v>
      </c>
      <c r="S22" s="9" t="s">
        <v>45</v>
      </c>
      <c r="T22" s="9" t="s">
        <v>386</v>
      </c>
    </row>
    <row r="23" spans="1:20" x14ac:dyDescent="0.25">
      <c r="A23" s="2" t="s">
        <v>37</v>
      </c>
      <c r="B23" s="2" t="s">
        <v>38</v>
      </c>
      <c r="C23" s="2" t="s">
        <v>47</v>
      </c>
      <c r="D23" s="2" t="s">
        <v>387</v>
      </c>
      <c r="E23" s="2" t="s">
        <v>388</v>
      </c>
      <c r="F23" s="2" t="s">
        <v>42</v>
      </c>
      <c r="G23" s="2" t="s">
        <v>7</v>
      </c>
      <c r="H23" s="2" t="s">
        <v>54</v>
      </c>
      <c r="I23" s="3">
        <v>44809.41666666667</v>
      </c>
      <c r="J23" s="2" t="s">
        <v>343</v>
      </c>
      <c r="K23" s="2" t="s">
        <v>242</v>
      </c>
      <c r="L23" s="4">
        <v>127.12</v>
      </c>
      <c r="M23" s="5">
        <f>IF(AND(ISNUMBER(N23),ISNUMBER(L23),L23&gt;0),ROUND(N23/L23,2),"")</f>
        <v>27263.11</v>
      </c>
      <c r="N23" s="6">
        <v>3465686</v>
      </c>
      <c r="O23" s="7">
        <v>385.0762</v>
      </c>
      <c r="P23" s="8">
        <f>IF(AND(ISNUMBER(N23),ISNUMBER(O23),O23&gt;0),N23/(O23*10000),"")</f>
        <v>0.9000000519377724</v>
      </c>
      <c r="Q23" s="6">
        <v>0</v>
      </c>
      <c r="R23" s="6">
        <v>0</v>
      </c>
      <c r="S23" s="9" t="s">
        <v>45</v>
      </c>
      <c r="T23" s="9" t="s">
        <v>389</v>
      </c>
    </row>
    <row r="24" spans="1:20" x14ac:dyDescent="0.25">
      <c r="A24" s="2" t="s">
        <v>37</v>
      </c>
      <c r="B24" s="2" t="s">
        <v>38</v>
      </c>
      <c r="C24" s="2" t="s">
        <v>39</v>
      </c>
      <c r="D24" s="2" t="s">
        <v>244</v>
      </c>
      <c r="E24" s="2" t="s">
        <v>245</v>
      </c>
      <c r="F24" s="2" t="s">
        <v>42</v>
      </c>
      <c r="G24" s="2" t="s">
        <v>7</v>
      </c>
      <c r="H24" s="2" t="s">
        <v>54</v>
      </c>
      <c r="I24" s="3">
        <v>44815.41666666667</v>
      </c>
      <c r="J24" s="2" t="s">
        <v>343</v>
      </c>
      <c r="K24" s="2" t="s">
        <v>246</v>
      </c>
      <c r="L24" s="4">
        <v>161.05</v>
      </c>
      <c r="M24" s="5">
        <f>IF(AND(ISNUMBER(N24),ISNUMBER(L24),L24&gt;0),ROUND(N24/L24,2),"")</f>
        <v>16853</v>
      </c>
      <c r="N24" s="6">
        <v>2714174.94</v>
      </c>
      <c r="O24" s="7">
        <v>339.271867</v>
      </c>
      <c r="P24" s="8">
        <f>IF(AND(ISNUMBER(N24),ISNUMBER(O24),O24&gt;0),N24/(O24*10000),"")</f>
        <v>0.8000000011789955</v>
      </c>
      <c r="Q24" s="6">
        <v>0</v>
      </c>
      <c r="R24" s="6">
        <v>0</v>
      </c>
      <c r="S24" s="9" t="s">
        <v>45</v>
      </c>
      <c r="T24" s="9" t="s">
        <v>390</v>
      </c>
    </row>
    <row r="25" spans="1:20" x14ac:dyDescent="0.25">
      <c r="A25" s="2" t="s">
        <v>37</v>
      </c>
      <c r="B25" s="2" t="s">
        <v>38</v>
      </c>
      <c r="C25" s="2" t="s">
        <v>47</v>
      </c>
      <c r="D25" s="2" t="s">
        <v>387</v>
      </c>
      <c r="E25" s="2" t="s">
        <v>388</v>
      </c>
      <c r="F25" s="2" t="s">
        <v>42</v>
      </c>
      <c r="G25" s="2" t="s">
        <v>7</v>
      </c>
      <c r="H25" s="2" t="s">
        <v>43</v>
      </c>
      <c r="I25" s="3">
        <v>44831.41666666667</v>
      </c>
      <c r="J25" s="2" t="s">
        <v>343</v>
      </c>
      <c r="K25" s="2" t="s">
        <v>242</v>
      </c>
      <c r="L25" s="4">
        <v>127.12</v>
      </c>
      <c r="M25" s="5">
        <f>IF(AND(ISNUMBER(N25),ISNUMBER(L25),L25&gt;0),ROUND(N25/L25,2),"")</f>
        <v>21810.49</v>
      </c>
      <c r="N25" s="6">
        <v>2772550</v>
      </c>
      <c r="O25" s="7">
        <v>385.0762</v>
      </c>
      <c r="P25" s="8">
        <f>IF(AND(ISNUMBER(N25),ISNUMBER(O25),O25&gt;0),N25/(O25*10000),"")</f>
        <v>0.7200003531768518</v>
      </c>
      <c r="Q25" s="6">
        <v>0</v>
      </c>
      <c r="R25" s="6">
        <v>0</v>
      </c>
      <c r="S25" s="9" t="s">
        <v>45</v>
      </c>
      <c r="T25" s="9" t="s">
        <v>391</v>
      </c>
    </row>
    <row r="26" spans="1:20" x14ac:dyDescent="0.25">
      <c r="A26" s="2" t="s">
        <v>37</v>
      </c>
      <c r="B26" s="2" t="s">
        <v>38</v>
      </c>
      <c r="C26" s="2" t="s">
        <v>260</v>
      </c>
      <c r="D26" s="2" t="s">
        <v>392</v>
      </c>
      <c r="E26" s="2" t="s">
        <v>53</v>
      </c>
      <c r="F26" s="2" t="s">
        <v>42</v>
      </c>
      <c r="G26" s="2" t="s">
        <v>7</v>
      </c>
      <c r="H26" s="2" t="s">
        <v>54</v>
      </c>
      <c r="I26" s="3">
        <v>44886.41666666667</v>
      </c>
      <c r="J26" s="2" t="s">
        <v>343</v>
      </c>
      <c r="K26" s="2" t="s">
        <v>250</v>
      </c>
      <c r="L26" s="4">
        <v>350.47</v>
      </c>
      <c r="M26" s="5">
        <f>IF(AND(ISNUMBER(N26),ISNUMBER(L26),L26&gt;0),ROUND(N26/L26,2),"")</f>
        <v>4606.61</v>
      </c>
      <c r="N26" s="6">
        <v>1614480</v>
      </c>
      <c r="O26" s="7">
        <v>230.64</v>
      </c>
      <c r="P26" s="8">
        <f>IF(AND(ISNUMBER(N26),ISNUMBER(O26),O26&gt;0),N26/(O26*10000),"")</f>
        <v>0.7</v>
      </c>
      <c r="Q26" s="6">
        <v>0</v>
      </c>
      <c r="R26" s="6">
        <v>0</v>
      </c>
      <c r="S26" s="9" t="s">
        <v>45</v>
      </c>
      <c r="T26" s="9" t="s">
        <v>393</v>
      </c>
    </row>
    <row r="27" spans="1:20" x14ac:dyDescent="0.25">
      <c r="A27" s="2" t="s">
        <v>37</v>
      </c>
      <c r="B27" s="2" t="s">
        <v>38</v>
      </c>
      <c r="C27" s="2" t="s">
        <v>71</v>
      </c>
      <c r="D27" s="2" t="s">
        <v>394</v>
      </c>
      <c r="E27" s="2" t="s">
        <v>395</v>
      </c>
      <c r="F27" s="2" t="s">
        <v>42</v>
      </c>
      <c r="G27" s="2" t="s">
        <v>7</v>
      </c>
      <c r="H27" s="2" t="s">
        <v>54</v>
      </c>
      <c r="I27" s="3">
        <v>46265.41666666667</v>
      </c>
      <c r="J27" s="2" t="s">
        <v>343</v>
      </c>
      <c r="K27" s="2" t="s">
        <v>100</v>
      </c>
      <c r="L27" s="4">
        <v>125.38</v>
      </c>
      <c r="M27" s="5">
        <f>IF(AND(ISNUMBER(N27),ISNUMBER(L27),L27&gt;0),ROUND(N27/L27,2),"")</f>
        <v>8960</v>
      </c>
      <c r="N27" s="6">
        <v>1123405</v>
      </c>
      <c r="O27" s="7">
        <v>160.4864</v>
      </c>
      <c r="P27" s="8">
        <f>IF(AND(ISNUMBER(N27),ISNUMBER(O27),O27&gt;0),N27/(O27*10000),"")</f>
        <v>0.7000001246211517</v>
      </c>
      <c r="Q27" s="6">
        <v>0</v>
      </c>
      <c r="R27" s="6">
        <v>0</v>
      </c>
      <c r="S27" s="9" t="s">
        <v>45</v>
      </c>
      <c r="T27" s="9" t="s">
        <v>396</v>
      </c>
    </row>
    <row r="28" spans="1:20" x14ac:dyDescent="0.25">
      <c r="A28" s="2" t="s">
        <v>37</v>
      </c>
      <c r="B28" s="2" t="s">
        <v>38</v>
      </c>
      <c r="C28" s="2" t="s">
        <v>39</v>
      </c>
      <c r="D28" s="2" t="s">
        <v>397</v>
      </c>
      <c r="E28" s="2" t="s">
        <v>398</v>
      </c>
      <c r="F28" s="2" t="s">
        <v>42</v>
      </c>
      <c r="G28" s="2" t="s">
        <v>7</v>
      </c>
      <c r="H28" s="2" t="s">
        <v>54</v>
      </c>
      <c r="I28" s="3">
        <v>46265.41666666667</v>
      </c>
      <c r="J28" s="2" t="s">
        <v>343</v>
      </c>
      <c r="K28" s="2" t="s">
        <v>100</v>
      </c>
      <c r="L28" s="4">
        <v>135.63</v>
      </c>
      <c r="M28" s="5">
        <f>IF(AND(ISNUMBER(N28),ISNUMBER(L28),L28&gt;0),ROUND(N28/L28,2),"")</f>
        <v>10500</v>
      </c>
      <c r="N28" s="6">
        <v>1424115</v>
      </c>
      <c r="O28" s="7">
        <v>203.445</v>
      </c>
      <c r="P28" s="8">
        <f>IF(AND(ISNUMBER(N28),ISNUMBER(O28),O28&gt;0),N28/(O28*10000),"")</f>
        <v>0.7</v>
      </c>
      <c r="Q28" s="6">
        <v>0</v>
      </c>
      <c r="R28" s="6">
        <v>0</v>
      </c>
      <c r="S28" s="9" t="s">
        <v>45</v>
      </c>
      <c r="T28" s="9" t="s">
        <v>399</v>
      </c>
    </row>
    <row r="29" spans="1:20" x14ac:dyDescent="0.25">
      <c r="A29" s="2" t="s">
        <v>37</v>
      </c>
      <c r="B29" s="2" t="s">
        <v>38</v>
      </c>
      <c r="C29" s="2" t="s">
        <v>400</v>
      </c>
      <c r="D29" s="2" t="s">
        <v>401</v>
      </c>
      <c r="E29" s="2" t="s">
        <v>402</v>
      </c>
      <c r="F29" s="2" t="s">
        <v>42</v>
      </c>
      <c r="G29" s="2" t="s">
        <v>7</v>
      </c>
      <c r="H29" s="2" t="s">
        <v>54</v>
      </c>
      <c r="I29" s="3">
        <v>46265.41666666667</v>
      </c>
      <c r="J29" s="2" t="s">
        <v>343</v>
      </c>
      <c r="K29" s="2" t="s">
        <v>100</v>
      </c>
      <c r="L29" s="11" t="s">
        <v>307</v>
      </c>
      <c r="M29" s="5" t="str">
        <f>IF(AND(ISNUMBER(N29),ISNUMBER(L29),L29&gt;0),ROUND(N29/L29,2),"")</f>
        <v/>
      </c>
      <c r="N29" s="6">
        <v>1069600</v>
      </c>
      <c r="O29" s="7">
        <v>152.8</v>
      </c>
      <c r="P29" s="8">
        <f>IF(AND(ISNUMBER(N29),ISNUMBER(O29),O29&gt;0),N29/(O29*10000),"")</f>
        <v>0.7</v>
      </c>
      <c r="Q29" s="6">
        <v>0</v>
      </c>
      <c r="R29" s="6">
        <v>0</v>
      </c>
      <c r="S29" s="2" t="s">
        <v>403</v>
      </c>
      <c r="T29" s="9" t="s">
        <v>404</v>
      </c>
    </row>
    <row r="30" spans="1:20" x14ac:dyDescent="0.25">
      <c r="A30" s="2" t="s">
        <v>37</v>
      </c>
      <c r="B30" s="2" t="s">
        <v>38</v>
      </c>
      <c r="C30" s="2" t="s">
        <v>39</v>
      </c>
      <c r="D30" s="2" t="s">
        <v>405</v>
      </c>
      <c r="E30" s="2" t="s">
        <v>406</v>
      </c>
      <c r="F30" s="2" t="s">
        <v>42</v>
      </c>
      <c r="G30" s="2" t="s">
        <v>7</v>
      </c>
      <c r="H30" s="2" t="s">
        <v>54</v>
      </c>
      <c r="I30" s="3">
        <v>46265.41666666667</v>
      </c>
      <c r="J30" s="2" t="s">
        <v>343</v>
      </c>
      <c r="K30" s="2" t="s">
        <v>100</v>
      </c>
      <c r="L30" s="4">
        <v>73.25</v>
      </c>
      <c r="M30" s="5">
        <f>IF(AND(ISNUMBER(N30),ISNUMBER(L30),L30&gt;0),ROUND(N30/L30,2),"")</f>
        <v>5600</v>
      </c>
      <c r="N30" s="6">
        <v>410200</v>
      </c>
      <c r="O30" s="7">
        <v>58.6</v>
      </c>
      <c r="P30" s="8">
        <f>IF(AND(ISNUMBER(N30),ISNUMBER(O30),O30&gt;0),N30/(O30*10000),"")</f>
        <v>0.7</v>
      </c>
      <c r="Q30" s="6">
        <v>0</v>
      </c>
      <c r="R30" s="6">
        <v>0</v>
      </c>
      <c r="S30" s="9" t="s">
        <v>45</v>
      </c>
      <c r="T30" s="9" t="s">
        <v>407</v>
      </c>
    </row>
    <row r="31" spans="1:20" x14ac:dyDescent="0.25">
      <c r="A31" s="2" t="s">
        <v>37</v>
      </c>
      <c r="B31" s="2" t="s">
        <v>38</v>
      </c>
      <c r="C31" s="2" t="s">
        <v>400</v>
      </c>
      <c r="D31" s="2" t="s">
        <v>408</v>
      </c>
      <c r="E31" s="2" t="s">
        <v>409</v>
      </c>
      <c r="F31" s="2" t="s">
        <v>42</v>
      </c>
      <c r="G31" s="2" t="s">
        <v>7</v>
      </c>
      <c r="H31" s="2" t="s">
        <v>54</v>
      </c>
      <c r="I31" s="3">
        <v>46265.41666666667</v>
      </c>
      <c r="J31" s="2" t="s">
        <v>343</v>
      </c>
      <c r="K31" s="2" t="s">
        <v>100</v>
      </c>
      <c r="L31" s="4">
        <v>72.76</v>
      </c>
      <c r="M31" s="5">
        <f>IF(AND(ISNUMBER(N31),ISNUMBER(L31),L31&gt;0),ROUND(N31/L31,2),"")</f>
        <v>3150</v>
      </c>
      <c r="N31" s="6">
        <v>229194</v>
      </c>
      <c r="O31" s="7">
        <v>32.742</v>
      </c>
      <c r="P31" s="8">
        <f>IF(AND(ISNUMBER(N31),ISNUMBER(O31),O31&gt;0),N31/(O31*10000),"")</f>
        <v>0.7</v>
      </c>
      <c r="Q31" s="6">
        <v>0</v>
      </c>
      <c r="R31" s="6">
        <v>0</v>
      </c>
      <c r="S31" s="9" t="s">
        <v>45</v>
      </c>
      <c r="T31" s="9" t="s">
        <v>410</v>
      </c>
    </row>
    <row r="32" spans="1:20" x14ac:dyDescent="0.25">
      <c r="A32" s="2" t="s">
        <v>37</v>
      </c>
      <c r="B32" s="2" t="s">
        <v>38</v>
      </c>
      <c r="C32" s="2" t="s">
        <v>51</v>
      </c>
      <c r="D32" s="2" t="s">
        <v>411</v>
      </c>
      <c r="E32" s="2" t="s">
        <v>412</v>
      </c>
      <c r="F32" s="2" t="s">
        <v>42</v>
      </c>
      <c r="G32" s="2" t="s">
        <v>7</v>
      </c>
      <c r="H32" s="2" t="s">
        <v>54</v>
      </c>
      <c r="I32" s="3">
        <v>46263.41666666667</v>
      </c>
      <c r="J32" s="2" t="s">
        <v>343</v>
      </c>
      <c r="K32" s="2" t="s">
        <v>55</v>
      </c>
      <c r="L32" s="4">
        <v>108.23</v>
      </c>
      <c r="M32" s="5">
        <f>IF(AND(ISNUMBER(N32),ISNUMBER(L32),L32&gt;0),ROUND(N32/L32,2),"")</f>
        <v>8369.68</v>
      </c>
      <c r="N32" s="6">
        <v>905850</v>
      </c>
      <c r="O32" s="7">
        <v>113.23126200000002</v>
      </c>
      <c r="P32" s="8">
        <f>IF(AND(ISNUMBER(N32),ISNUMBER(O32),O32&gt;0),N32/(O32*10000),"")</f>
        <v>0.7999999152177601</v>
      </c>
      <c r="Q32" s="6">
        <v>0</v>
      </c>
      <c r="R32" s="6">
        <v>0</v>
      </c>
      <c r="S32" s="9" t="s">
        <v>45</v>
      </c>
      <c r="T32" s="9" t="s">
        <v>413</v>
      </c>
    </row>
    <row r="33" spans="1:20" x14ac:dyDescent="0.25">
      <c r="A33" s="2" t="s">
        <v>37</v>
      </c>
      <c r="B33" s="2" t="s">
        <v>38</v>
      </c>
      <c r="C33" s="2" t="s">
        <v>39</v>
      </c>
      <c r="D33" s="2" t="s">
        <v>414</v>
      </c>
      <c r="E33" s="2" t="s">
        <v>415</v>
      </c>
      <c r="F33" s="2" t="s">
        <v>42</v>
      </c>
      <c r="G33" s="2" t="s">
        <v>7</v>
      </c>
      <c r="H33" s="2" t="s">
        <v>54</v>
      </c>
      <c r="I33" s="3">
        <v>46262.41666666667</v>
      </c>
      <c r="J33" s="2" t="s">
        <v>343</v>
      </c>
      <c r="K33" s="2" t="s">
        <v>262</v>
      </c>
      <c r="L33" s="4">
        <v>91.19</v>
      </c>
      <c r="M33" s="5">
        <f>IF(AND(ISNUMBER(N33),ISNUMBER(L33),L33&gt;0),ROUND(N33/L33,2),"")</f>
        <v>9100</v>
      </c>
      <c r="N33" s="6">
        <v>829829</v>
      </c>
      <c r="O33" s="7">
        <v>118.547</v>
      </c>
      <c r="P33" s="8">
        <f>IF(AND(ISNUMBER(N33),ISNUMBER(O33),O33&gt;0),N33/(O33*10000),"")</f>
        <v>0.7</v>
      </c>
      <c r="Q33" s="6">
        <v>0</v>
      </c>
      <c r="R33" s="6">
        <v>0</v>
      </c>
      <c r="S33" s="9" t="s">
        <v>45</v>
      </c>
      <c r="T33" s="9" t="s">
        <v>416</v>
      </c>
    </row>
    <row r="34" spans="1:20" x14ac:dyDescent="0.25">
      <c r="A34" s="2" t="s">
        <v>37</v>
      </c>
      <c r="B34" s="2" t="s">
        <v>38</v>
      </c>
      <c r="C34" s="2" t="s">
        <v>400</v>
      </c>
      <c r="D34" s="2" t="s">
        <v>417</v>
      </c>
      <c r="E34" s="2" t="s">
        <v>418</v>
      </c>
      <c r="F34" s="2" t="s">
        <v>42</v>
      </c>
      <c r="G34" s="2" t="s">
        <v>7</v>
      </c>
      <c r="H34" s="2" t="s">
        <v>54</v>
      </c>
      <c r="I34" s="3">
        <v>46262.41666666667</v>
      </c>
      <c r="J34" s="2" t="s">
        <v>343</v>
      </c>
      <c r="K34" s="2" t="s">
        <v>44</v>
      </c>
      <c r="L34" s="4">
        <v>88.94</v>
      </c>
      <c r="M34" s="5">
        <f>IF(AND(ISNUMBER(N34),ISNUMBER(L34),L34&gt;0),ROUND(N34/L34,2),"")</f>
        <v>4384.98</v>
      </c>
      <c r="N34" s="6">
        <v>390000</v>
      </c>
      <c r="O34" s="7">
        <v>54.787291</v>
      </c>
      <c r="P34" s="8">
        <f>IF(AND(ISNUMBER(N34),ISNUMBER(O34),O34&gt;0),N34/(O34*10000),"")</f>
        <v>0.711843920152942</v>
      </c>
      <c r="Q34" s="6">
        <v>0</v>
      </c>
      <c r="R34" s="6">
        <v>0</v>
      </c>
      <c r="S34" s="9" t="s">
        <v>45</v>
      </c>
      <c r="T34" s="9" t="s">
        <v>419</v>
      </c>
    </row>
    <row r="35" spans="1:20" x14ac:dyDescent="0.25">
      <c r="A35" s="2" t="s">
        <v>37</v>
      </c>
      <c r="B35" s="2" t="s">
        <v>38</v>
      </c>
      <c r="C35" s="2" t="s">
        <v>97</v>
      </c>
      <c r="D35" s="2" t="s">
        <v>420</v>
      </c>
      <c r="E35" s="2" t="s">
        <v>421</v>
      </c>
      <c r="F35" s="2" t="s">
        <v>42</v>
      </c>
      <c r="G35" s="2" t="s">
        <v>7</v>
      </c>
      <c r="H35" s="2" t="s">
        <v>54</v>
      </c>
      <c r="I35" s="3">
        <v>46262.41666666667</v>
      </c>
      <c r="J35" s="2" t="s">
        <v>343</v>
      </c>
      <c r="K35" s="2" t="s">
        <v>422</v>
      </c>
      <c r="L35" s="4">
        <v>136.17</v>
      </c>
      <c r="M35" s="5">
        <f>IF(AND(ISNUMBER(N35),ISNUMBER(L35),L35&gt;0),ROUND(N35/L35,2),"")</f>
        <v>15868</v>
      </c>
      <c r="N35" s="6">
        <v>2160746</v>
      </c>
      <c r="O35" s="7">
        <v>216.0746</v>
      </c>
      <c r="P35" s="8">
        <f>IF(AND(ISNUMBER(N35),ISNUMBER(O35),O35&gt;0),N35/(O35*10000),"")</f>
        <v>1</v>
      </c>
      <c r="Q35" s="6">
        <v>0</v>
      </c>
      <c r="R35" s="6">
        <v>0</v>
      </c>
      <c r="S35" s="9" t="s">
        <v>45</v>
      </c>
      <c r="T35" s="9" t="s">
        <v>423</v>
      </c>
    </row>
    <row r="36" spans="1:20" x14ac:dyDescent="0.25">
      <c r="A36" s="2" t="s">
        <v>37</v>
      </c>
      <c r="B36" s="2" t="s">
        <v>38</v>
      </c>
      <c r="C36" s="2" t="s">
        <v>71</v>
      </c>
      <c r="D36" s="2" t="s">
        <v>424</v>
      </c>
      <c r="E36" s="2" t="s">
        <v>425</v>
      </c>
      <c r="F36" s="2" t="s">
        <v>42</v>
      </c>
      <c r="G36" s="2" t="s">
        <v>7</v>
      </c>
      <c r="H36" s="2" t="s">
        <v>54</v>
      </c>
      <c r="I36" s="3">
        <v>46262.41666666667</v>
      </c>
      <c r="J36" s="2" t="s">
        <v>343</v>
      </c>
      <c r="K36" s="2" t="s">
        <v>100</v>
      </c>
      <c r="L36" s="4">
        <v>89.49</v>
      </c>
      <c r="M36" s="5">
        <f>IF(AND(ISNUMBER(N36),ISNUMBER(L36),L36&gt;0),ROUND(N36/L36,2),"")</f>
        <v>6750.81</v>
      </c>
      <c r="N36" s="6">
        <v>604130</v>
      </c>
      <c r="O36" s="7">
        <v>86.3042</v>
      </c>
      <c r="P36" s="8">
        <f>IF(AND(ISNUMBER(N36),ISNUMBER(O36),O36&gt;0),N36/(O36*10000),"")</f>
        <v>0.7000006952152966</v>
      </c>
      <c r="Q36" s="6">
        <v>0</v>
      </c>
      <c r="R36" s="6">
        <v>0</v>
      </c>
      <c r="S36" s="9" t="s">
        <v>45</v>
      </c>
      <c r="T36" s="9" t="s">
        <v>426</v>
      </c>
    </row>
    <row r="37" spans="1:20" x14ac:dyDescent="0.25">
      <c r="A37" s="2" t="s">
        <v>37</v>
      </c>
      <c r="B37" s="2" t="s">
        <v>38</v>
      </c>
      <c r="C37" s="2" t="s">
        <v>71</v>
      </c>
      <c r="D37" s="2" t="s">
        <v>427</v>
      </c>
      <c r="E37" s="2" t="s">
        <v>53</v>
      </c>
      <c r="F37" s="2" t="s">
        <v>42</v>
      </c>
      <c r="G37" s="2" t="s">
        <v>7</v>
      </c>
      <c r="H37" s="2" t="s">
        <v>43</v>
      </c>
      <c r="I37" s="3">
        <v>46262.41666666667</v>
      </c>
      <c r="J37" s="2" t="s">
        <v>343</v>
      </c>
      <c r="K37" s="2" t="s">
        <v>428</v>
      </c>
      <c r="L37" s="4">
        <v>47.31</v>
      </c>
      <c r="M37" s="5">
        <f>IF(AND(ISNUMBER(N37),ISNUMBER(L37),L37&gt;0),ROUND(N37/L37,2),"")</f>
        <v>8399.47</v>
      </c>
      <c r="N37" s="6">
        <v>397379</v>
      </c>
      <c r="O37" s="7">
        <v>70.96043900000001</v>
      </c>
      <c r="P37" s="8">
        <f>IF(AND(ISNUMBER(N37),ISNUMBER(O37),O37&gt;0),N37/(O37*10000),"")</f>
        <v>0.5600007632421777</v>
      </c>
      <c r="Q37" s="6">
        <v>0</v>
      </c>
      <c r="R37" s="6">
        <v>0</v>
      </c>
      <c r="S37" s="9" t="s">
        <v>45</v>
      </c>
      <c r="T37" s="9" t="s">
        <v>429</v>
      </c>
    </row>
    <row r="38" spans="1:20" x14ac:dyDescent="0.25">
      <c r="A38" s="2" t="s">
        <v>37</v>
      </c>
      <c r="B38" s="2" t="s">
        <v>38</v>
      </c>
      <c r="C38" s="2" t="s">
        <v>51</v>
      </c>
      <c r="D38" s="2" t="s">
        <v>430</v>
      </c>
      <c r="E38" s="2" t="s">
        <v>431</v>
      </c>
      <c r="F38" s="2" t="s">
        <v>42</v>
      </c>
      <c r="G38" s="2" t="s">
        <v>7</v>
      </c>
      <c r="H38" s="2" t="s">
        <v>54</v>
      </c>
      <c r="I38" s="3">
        <v>46262.41666666667</v>
      </c>
      <c r="J38" s="2" t="s">
        <v>343</v>
      </c>
      <c r="K38" s="2" t="s">
        <v>55</v>
      </c>
      <c r="L38" s="4">
        <v>154.03</v>
      </c>
      <c r="M38" s="5">
        <f>IF(AND(ISNUMBER(N38),ISNUMBER(L38),L38&gt;0),ROUND(N38/L38,2),"")</f>
        <v>5385</v>
      </c>
      <c r="N38" s="6">
        <v>829452</v>
      </c>
      <c r="O38" s="7">
        <v>92.16135899999999</v>
      </c>
      <c r="P38" s="8">
        <f>IF(AND(ISNUMBER(N38),ISNUMBER(O38),O38&gt;0),N38/(O38*10000),"")</f>
        <v>0.8999997493526546</v>
      </c>
      <c r="Q38" s="6">
        <v>0</v>
      </c>
      <c r="R38" s="6">
        <v>0</v>
      </c>
      <c r="S38" s="9" t="s">
        <v>45</v>
      </c>
      <c r="T38" s="9" t="s">
        <v>432</v>
      </c>
    </row>
    <row r="39" spans="1:20" x14ac:dyDescent="0.25">
      <c r="A39" s="2" t="s">
        <v>37</v>
      </c>
      <c r="B39" s="2" t="s">
        <v>103</v>
      </c>
      <c r="C39" s="2" t="s">
        <v>303</v>
      </c>
      <c r="D39" s="2" t="s">
        <v>433</v>
      </c>
      <c r="E39" s="2" t="s">
        <v>434</v>
      </c>
      <c r="F39" s="2" t="s">
        <v>42</v>
      </c>
      <c r="G39" s="2" t="s">
        <v>7</v>
      </c>
      <c r="H39" s="2" t="s">
        <v>54</v>
      </c>
      <c r="I39" s="3">
        <v>46265.41666666667</v>
      </c>
      <c r="J39" s="2" t="s">
        <v>343</v>
      </c>
      <c r="K39" s="2" t="s">
        <v>107</v>
      </c>
      <c r="L39" s="4">
        <v>227.52</v>
      </c>
      <c r="M39" s="5">
        <f>IF(AND(ISNUMBER(N39),ISNUMBER(L39),L39&gt;0),ROUND(N39/L39,2),"")</f>
        <v>2681.08</v>
      </c>
      <c r="N39" s="6">
        <v>610000</v>
      </c>
      <c r="O39" s="7">
        <v>86.7763</v>
      </c>
      <c r="P39" s="8">
        <f>IF(AND(ISNUMBER(N39),ISNUMBER(O39),O39&gt;0),N39/(O39*10000),"")</f>
        <v>0.702956913350765</v>
      </c>
      <c r="Q39" s="6">
        <v>0</v>
      </c>
      <c r="R39" s="6">
        <v>0</v>
      </c>
      <c r="S39" s="9" t="s">
        <v>45</v>
      </c>
      <c r="T39" s="9" t="s">
        <v>435</v>
      </c>
    </row>
    <row r="40" spans="1:20" x14ac:dyDescent="0.25">
      <c r="A40" s="2" t="s">
        <v>37</v>
      </c>
      <c r="B40" s="2" t="s">
        <v>103</v>
      </c>
      <c r="C40" s="2" t="s">
        <v>122</v>
      </c>
      <c r="D40" s="2" t="s">
        <v>436</v>
      </c>
      <c r="E40" s="2" t="s">
        <v>437</v>
      </c>
      <c r="F40" s="2" t="s">
        <v>42</v>
      </c>
      <c r="G40" s="2" t="s">
        <v>7</v>
      </c>
      <c r="H40" s="2" t="s">
        <v>54</v>
      </c>
      <c r="I40" s="3">
        <v>46265.41666666667</v>
      </c>
      <c r="J40" s="2" t="s">
        <v>343</v>
      </c>
      <c r="K40" s="2" t="s">
        <v>100</v>
      </c>
      <c r="L40" s="4">
        <v>161.84</v>
      </c>
      <c r="M40" s="5">
        <f>IF(AND(ISNUMBER(N40),ISNUMBER(L40),L40&gt;0),ROUND(N40/L40,2),"")</f>
        <v>3049.31</v>
      </c>
      <c r="N40" s="6">
        <v>493500</v>
      </c>
      <c r="O40" s="7">
        <v>70.5</v>
      </c>
      <c r="P40" s="8">
        <f>IF(AND(ISNUMBER(N40),ISNUMBER(O40),O40&gt;0),N40/(O40*10000),"")</f>
        <v>0.7</v>
      </c>
      <c r="Q40" s="6">
        <v>0</v>
      </c>
      <c r="R40" s="6">
        <v>0</v>
      </c>
      <c r="S40" s="9" t="s">
        <v>45</v>
      </c>
      <c r="T40" s="9" t="s">
        <v>438</v>
      </c>
    </row>
    <row r="41" spans="1:20" x14ac:dyDescent="0.25">
      <c r="A41" s="2" t="s">
        <v>37</v>
      </c>
      <c r="B41" s="2" t="s">
        <v>103</v>
      </c>
      <c r="C41" s="2" t="s">
        <v>104</v>
      </c>
      <c r="D41" s="2" t="s">
        <v>439</v>
      </c>
      <c r="E41" s="2" t="s">
        <v>440</v>
      </c>
      <c r="F41" s="2" t="s">
        <v>42</v>
      </c>
      <c r="G41" s="2" t="s">
        <v>7</v>
      </c>
      <c r="H41" s="2" t="s">
        <v>54</v>
      </c>
      <c r="I41" s="3">
        <v>46265.41666666667</v>
      </c>
      <c r="J41" s="2" t="s">
        <v>343</v>
      </c>
      <c r="K41" s="2" t="s">
        <v>107</v>
      </c>
      <c r="L41" s="4">
        <v>90.54</v>
      </c>
      <c r="M41" s="5">
        <f>IF(AND(ISNUMBER(N41),ISNUMBER(L41),L41&gt;0),ROUND(N41/L41,2),"")</f>
        <v>8504.53</v>
      </c>
      <c r="N41" s="6">
        <v>770000</v>
      </c>
      <c r="O41" s="7">
        <v>95.0308</v>
      </c>
      <c r="P41" s="8">
        <f>IF(AND(ISNUMBER(N41),ISNUMBER(O41),O41&gt;0),N41/(O41*10000),"")</f>
        <v>0.8102636197948455</v>
      </c>
      <c r="Q41" s="6">
        <v>0</v>
      </c>
      <c r="R41" s="6">
        <v>0</v>
      </c>
      <c r="S41" s="9" t="s">
        <v>45</v>
      </c>
      <c r="T41" s="9" t="s">
        <v>441</v>
      </c>
    </row>
    <row r="42" spans="1:20" x14ac:dyDescent="0.25">
      <c r="A42" s="2" t="s">
        <v>37</v>
      </c>
      <c r="B42" s="2" t="s">
        <v>103</v>
      </c>
      <c r="C42" s="2" t="s">
        <v>109</v>
      </c>
      <c r="D42" s="2" t="s">
        <v>442</v>
      </c>
      <c r="E42" s="2" t="s">
        <v>443</v>
      </c>
      <c r="F42" s="2" t="s">
        <v>42</v>
      </c>
      <c r="G42" s="2" t="s">
        <v>7</v>
      </c>
      <c r="H42" s="2" t="s">
        <v>54</v>
      </c>
      <c r="I42" s="3">
        <v>46265.41666666667</v>
      </c>
      <c r="J42" s="2" t="s">
        <v>343</v>
      </c>
      <c r="K42" s="2" t="s">
        <v>107</v>
      </c>
      <c r="L42" s="4">
        <v>80.36</v>
      </c>
      <c r="M42" s="5">
        <f>IF(AND(ISNUMBER(N42),ISNUMBER(L42),L42&gt;0),ROUND(N42/L42,2),"")</f>
        <v>7466.4</v>
      </c>
      <c r="N42" s="6">
        <v>600000</v>
      </c>
      <c r="O42" s="7">
        <v>75</v>
      </c>
      <c r="P42" s="8">
        <f>IF(AND(ISNUMBER(N42),ISNUMBER(O42),O42&gt;0),N42/(O42*10000),"")</f>
        <v>0.8</v>
      </c>
      <c r="Q42" s="6">
        <v>0</v>
      </c>
      <c r="R42" s="6">
        <v>0</v>
      </c>
      <c r="S42" s="9" t="s">
        <v>45</v>
      </c>
      <c r="T42" s="9" t="s">
        <v>444</v>
      </c>
    </row>
    <row r="43" spans="1:20" x14ac:dyDescent="0.25">
      <c r="A43" s="2" t="s">
        <v>37</v>
      </c>
      <c r="B43" s="2" t="s">
        <v>103</v>
      </c>
      <c r="C43" s="2" t="s">
        <v>303</v>
      </c>
      <c r="D43" s="2" t="s">
        <v>445</v>
      </c>
      <c r="E43" s="2" t="s">
        <v>434</v>
      </c>
      <c r="F43" s="2" t="s">
        <v>42</v>
      </c>
      <c r="G43" s="2" t="s">
        <v>7</v>
      </c>
      <c r="H43" s="2" t="s">
        <v>54</v>
      </c>
      <c r="I43" s="3">
        <v>46265.41666666667</v>
      </c>
      <c r="J43" s="2" t="s">
        <v>343</v>
      </c>
      <c r="K43" s="2" t="s">
        <v>107</v>
      </c>
      <c r="L43" s="4">
        <v>227.52</v>
      </c>
      <c r="M43" s="5">
        <f>IF(AND(ISNUMBER(N43),ISNUMBER(L43),L43&gt;0),ROUND(N43/L43,2),"")</f>
        <v>2593.18</v>
      </c>
      <c r="N43" s="6">
        <v>590000</v>
      </c>
      <c r="O43" s="7">
        <v>84.2159</v>
      </c>
      <c r="P43" s="8">
        <f>IF(AND(ISNUMBER(N43),ISNUMBER(O43),O43&gt;0),N43/(O43*10000),"")</f>
        <v>0.7005802942199751</v>
      </c>
      <c r="Q43" s="6">
        <v>0</v>
      </c>
      <c r="R43" s="6">
        <v>0</v>
      </c>
      <c r="S43" s="9" t="s">
        <v>45</v>
      </c>
      <c r="T43" s="9" t="s">
        <v>446</v>
      </c>
    </row>
    <row r="44" spans="1:20" x14ac:dyDescent="0.25">
      <c r="A44" s="2" t="s">
        <v>37</v>
      </c>
      <c r="B44" s="2" t="s">
        <v>103</v>
      </c>
      <c r="C44" s="2" t="s">
        <v>109</v>
      </c>
      <c r="D44" s="2" t="s">
        <v>447</v>
      </c>
      <c r="E44" s="2" t="s">
        <v>448</v>
      </c>
      <c r="F44" s="2" t="s">
        <v>42</v>
      </c>
      <c r="G44" s="2" t="s">
        <v>7</v>
      </c>
      <c r="H44" s="2" t="s">
        <v>54</v>
      </c>
      <c r="I44" s="3">
        <v>46265.41666666667</v>
      </c>
      <c r="J44" s="2" t="s">
        <v>343</v>
      </c>
      <c r="K44" s="2" t="s">
        <v>107</v>
      </c>
      <c r="L44" s="4">
        <v>97.75</v>
      </c>
      <c r="M44" s="5">
        <f>IF(AND(ISNUMBER(N44),ISNUMBER(L44),L44&gt;0),ROUND(N44/L44,2),"")</f>
        <v>7979.54</v>
      </c>
      <c r="N44" s="6">
        <v>780000</v>
      </c>
      <c r="O44" s="7">
        <v>96.96</v>
      </c>
      <c r="P44" s="8">
        <f>IF(AND(ISNUMBER(N44),ISNUMBER(O44),O44&gt;0),N44/(O44*10000),"")</f>
        <v>0.8044554455445545</v>
      </c>
      <c r="Q44" s="6">
        <v>0</v>
      </c>
      <c r="R44" s="6">
        <v>0</v>
      </c>
      <c r="S44" s="9" t="s">
        <v>45</v>
      </c>
      <c r="T44" s="9" t="s">
        <v>449</v>
      </c>
    </row>
    <row r="45" spans="1:20" x14ac:dyDescent="0.25">
      <c r="A45" s="2" t="s">
        <v>37</v>
      </c>
      <c r="B45" s="2" t="s">
        <v>103</v>
      </c>
      <c r="C45" s="2" t="s">
        <v>303</v>
      </c>
      <c r="D45" s="2" t="s">
        <v>450</v>
      </c>
      <c r="E45" s="2" t="s">
        <v>434</v>
      </c>
      <c r="F45" s="2" t="s">
        <v>42</v>
      </c>
      <c r="G45" s="2" t="s">
        <v>7</v>
      </c>
      <c r="H45" s="2" t="s">
        <v>54</v>
      </c>
      <c r="I45" s="3">
        <v>46265.41666666667</v>
      </c>
      <c r="J45" s="2" t="s">
        <v>343</v>
      </c>
      <c r="K45" s="2" t="s">
        <v>107</v>
      </c>
      <c r="L45" s="4">
        <v>227.52</v>
      </c>
      <c r="M45" s="5">
        <f>IF(AND(ISNUMBER(N45),ISNUMBER(L45),L45&gt;0),ROUND(N45/L45,2),"")</f>
        <v>2768.99</v>
      </c>
      <c r="N45" s="6">
        <v>630000</v>
      </c>
      <c r="O45" s="7">
        <v>89.3515</v>
      </c>
      <c r="P45" s="8">
        <f>IF(AND(ISNUMBER(N45),ISNUMBER(O45),O45&gt;0),N45/(O45*10000),"")</f>
        <v>0.7050804966900388</v>
      </c>
      <c r="Q45" s="6">
        <v>0</v>
      </c>
      <c r="R45" s="6">
        <v>0</v>
      </c>
      <c r="S45" s="9" t="s">
        <v>45</v>
      </c>
      <c r="T45" s="9" t="s">
        <v>451</v>
      </c>
    </row>
    <row r="46" spans="1:20" x14ac:dyDescent="0.25">
      <c r="A46" s="2" t="s">
        <v>37</v>
      </c>
      <c r="B46" s="2" t="s">
        <v>103</v>
      </c>
      <c r="C46" s="2" t="s">
        <v>303</v>
      </c>
      <c r="D46" s="2" t="s">
        <v>452</v>
      </c>
      <c r="E46" s="2" t="s">
        <v>434</v>
      </c>
      <c r="F46" s="2" t="s">
        <v>42</v>
      </c>
      <c r="G46" s="2" t="s">
        <v>7</v>
      </c>
      <c r="H46" s="2" t="s">
        <v>54</v>
      </c>
      <c r="I46" s="3">
        <v>46265.41666666667</v>
      </c>
      <c r="J46" s="2" t="s">
        <v>343</v>
      </c>
      <c r="K46" s="2" t="s">
        <v>107</v>
      </c>
      <c r="L46" s="4">
        <v>227.52</v>
      </c>
      <c r="M46" s="5">
        <f>IF(AND(ISNUMBER(N46),ISNUMBER(L46),L46&gt;0),ROUND(N46/L46,2),"")</f>
        <v>2549.23</v>
      </c>
      <c r="N46" s="6">
        <v>580000</v>
      </c>
      <c r="O46" s="7">
        <v>81.4567</v>
      </c>
      <c r="P46" s="8">
        <f>IF(AND(ISNUMBER(N46),ISNUMBER(O46),O46&gt;0),N46/(O46*10000),"")</f>
        <v>0.7120347374740199</v>
      </c>
      <c r="Q46" s="6">
        <v>0</v>
      </c>
      <c r="R46" s="6">
        <v>0</v>
      </c>
      <c r="S46" s="9" t="s">
        <v>45</v>
      </c>
      <c r="T46" s="9" t="s">
        <v>453</v>
      </c>
    </row>
    <row r="47" spans="1:20" x14ac:dyDescent="0.25">
      <c r="A47" s="2" t="s">
        <v>37</v>
      </c>
      <c r="B47" s="2" t="s">
        <v>103</v>
      </c>
      <c r="C47" s="2" t="s">
        <v>303</v>
      </c>
      <c r="D47" s="2" t="s">
        <v>454</v>
      </c>
      <c r="E47" s="2" t="s">
        <v>434</v>
      </c>
      <c r="F47" s="2" t="s">
        <v>42</v>
      </c>
      <c r="G47" s="2" t="s">
        <v>7</v>
      </c>
      <c r="H47" s="2" t="s">
        <v>54</v>
      </c>
      <c r="I47" s="3">
        <v>46265.41666666667</v>
      </c>
      <c r="J47" s="2" t="s">
        <v>343</v>
      </c>
      <c r="K47" s="2" t="s">
        <v>107</v>
      </c>
      <c r="L47" s="4">
        <v>227.52</v>
      </c>
      <c r="M47" s="5">
        <f>IF(AND(ISNUMBER(N47),ISNUMBER(L47),L47&gt;0),ROUND(N47/L47,2),"")</f>
        <v>2593.18</v>
      </c>
      <c r="N47" s="6">
        <v>590000</v>
      </c>
      <c r="O47" s="7">
        <v>84.1472</v>
      </c>
      <c r="P47" s="8">
        <f>IF(AND(ISNUMBER(N47),ISNUMBER(O47),O47&gt;0),N47/(O47*10000),"")</f>
        <v>0.7011522665044113</v>
      </c>
      <c r="Q47" s="6">
        <v>0</v>
      </c>
      <c r="R47" s="6">
        <v>0</v>
      </c>
      <c r="S47" s="9" t="s">
        <v>45</v>
      </c>
      <c r="T47" s="9" t="s">
        <v>455</v>
      </c>
    </row>
    <row r="48" spans="1:20" x14ac:dyDescent="0.25">
      <c r="A48" s="2" t="s">
        <v>37</v>
      </c>
      <c r="B48" s="2" t="s">
        <v>103</v>
      </c>
      <c r="C48" s="2" t="s">
        <v>132</v>
      </c>
      <c r="D48" s="2" t="s">
        <v>456</v>
      </c>
      <c r="E48" s="2" t="s">
        <v>457</v>
      </c>
      <c r="F48" s="2" t="s">
        <v>42</v>
      </c>
      <c r="G48" s="2" t="s">
        <v>7</v>
      </c>
      <c r="H48" s="2" t="s">
        <v>54</v>
      </c>
      <c r="I48" s="3">
        <v>46265.41666666667</v>
      </c>
      <c r="J48" s="2" t="s">
        <v>343</v>
      </c>
      <c r="K48" s="2" t="s">
        <v>107</v>
      </c>
      <c r="L48" s="4">
        <v>119.64</v>
      </c>
      <c r="M48" s="5">
        <f>IF(AND(ISNUMBER(N48),ISNUMBER(L48),L48&gt;0),ROUND(N48/L48,2),"")</f>
        <v>5934.47</v>
      </c>
      <c r="N48" s="6">
        <v>710000</v>
      </c>
      <c r="O48" s="7">
        <v>88.2824</v>
      </c>
      <c r="P48" s="8">
        <f>IF(AND(ISNUMBER(N48),ISNUMBER(O48),O48&gt;0),N48/(O48*10000),"")</f>
        <v>0.8042373111741412</v>
      </c>
      <c r="Q48" s="6">
        <v>0</v>
      </c>
      <c r="R48" s="6">
        <v>0</v>
      </c>
      <c r="S48" s="9" t="s">
        <v>45</v>
      </c>
      <c r="T48" s="9" t="s">
        <v>458</v>
      </c>
    </row>
    <row r="49" spans="1:20" x14ac:dyDescent="0.25">
      <c r="A49" s="2" t="s">
        <v>37</v>
      </c>
      <c r="B49" s="2" t="s">
        <v>103</v>
      </c>
      <c r="C49" s="2" t="s">
        <v>117</v>
      </c>
      <c r="D49" s="2" t="s">
        <v>459</v>
      </c>
      <c r="E49" s="2" t="s">
        <v>119</v>
      </c>
      <c r="F49" s="2" t="s">
        <v>42</v>
      </c>
      <c r="G49" s="2" t="s">
        <v>7</v>
      </c>
      <c r="H49" s="2" t="s">
        <v>54</v>
      </c>
      <c r="I49" s="3">
        <v>46265.41666666667</v>
      </c>
      <c r="J49" s="2" t="s">
        <v>343</v>
      </c>
      <c r="K49" s="2" t="s">
        <v>107</v>
      </c>
      <c r="L49" s="4">
        <v>118.33</v>
      </c>
      <c r="M49" s="5">
        <f>IF(AND(ISNUMBER(N49),ISNUMBER(L49),L49&gt;0),ROUND(N49/L49,2),"")</f>
        <v>7183.3</v>
      </c>
      <c r="N49" s="6">
        <v>850000</v>
      </c>
      <c r="O49" s="7">
        <v>105.96</v>
      </c>
      <c r="P49" s="8">
        <f>IF(AND(ISNUMBER(N49),ISNUMBER(O49),O49&gt;0),N49/(O49*10000),"")</f>
        <v>0.8021895054737637</v>
      </c>
      <c r="Q49" s="6">
        <v>0</v>
      </c>
      <c r="R49" s="6">
        <v>0</v>
      </c>
      <c r="S49" s="9" t="s">
        <v>45</v>
      </c>
      <c r="T49" s="9" t="s">
        <v>460</v>
      </c>
    </row>
    <row r="50" spans="1:20" x14ac:dyDescent="0.25">
      <c r="A50" s="2" t="s">
        <v>37</v>
      </c>
      <c r="B50" s="2" t="s">
        <v>103</v>
      </c>
      <c r="C50" s="2" t="s">
        <v>303</v>
      </c>
      <c r="D50" s="2" t="s">
        <v>461</v>
      </c>
      <c r="E50" s="2" t="s">
        <v>434</v>
      </c>
      <c r="F50" s="2" t="s">
        <v>42</v>
      </c>
      <c r="G50" s="2" t="s">
        <v>7</v>
      </c>
      <c r="H50" s="2" t="s">
        <v>54</v>
      </c>
      <c r="I50" s="3">
        <v>46265.41666666667</v>
      </c>
      <c r="J50" s="2" t="s">
        <v>343</v>
      </c>
      <c r="K50" s="2" t="s">
        <v>107</v>
      </c>
      <c r="L50" s="4">
        <v>227.52</v>
      </c>
      <c r="M50" s="5">
        <f>IF(AND(ISNUMBER(N50),ISNUMBER(L50),L50&gt;0),ROUND(N50/L50,2),"")</f>
        <v>2681.08</v>
      </c>
      <c r="N50" s="6">
        <v>610000</v>
      </c>
      <c r="O50" s="7">
        <v>86.7883</v>
      </c>
      <c r="P50" s="8">
        <f>IF(AND(ISNUMBER(N50),ISNUMBER(O50),O50&gt;0),N50/(O50*10000),"")</f>
        <v>0.7028597172660369</v>
      </c>
      <c r="Q50" s="6">
        <v>0</v>
      </c>
      <c r="R50" s="6">
        <v>0</v>
      </c>
      <c r="S50" s="9" t="s">
        <v>45</v>
      </c>
      <c r="T50" s="9" t="s">
        <v>462</v>
      </c>
    </row>
    <row r="51" spans="1:20" x14ac:dyDescent="0.25">
      <c r="A51" s="2" t="s">
        <v>37</v>
      </c>
      <c r="B51" s="2" t="s">
        <v>103</v>
      </c>
      <c r="C51" s="2" t="s">
        <v>117</v>
      </c>
      <c r="D51" s="2" t="s">
        <v>463</v>
      </c>
      <c r="E51" s="2" t="s">
        <v>464</v>
      </c>
      <c r="F51" s="2" t="s">
        <v>42</v>
      </c>
      <c r="G51" s="2" t="s">
        <v>7</v>
      </c>
      <c r="H51" s="2" t="s">
        <v>43</v>
      </c>
      <c r="I51" s="3">
        <v>46265.41666666667</v>
      </c>
      <c r="J51" s="2" t="s">
        <v>343</v>
      </c>
      <c r="K51" s="2" t="s">
        <v>120</v>
      </c>
      <c r="L51" s="4">
        <v>112.01</v>
      </c>
      <c r="M51" s="5">
        <f>IF(AND(ISNUMBER(N51),ISNUMBER(L51),L51&gt;0),ROUND(N51/L51,2),"")</f>
        <v>5936.79</v>
      </c>
      <c r="N51" s="6">
        <v>664979.84</v>
      </c>
      <c r="O51" s="7">
        <v>118.7464</v>
      </c>
      <c r="P51" s="8">
        <f>IF(AND(ISNUMBER(N51),ISNUMBER(O51),O51&gt;0),N51/(O51*10000),"")</f>
        <v>0.5599999999999999</v>
      </c>
      <c r="Q51" s="6">
        <v>0</v>
      </c>
      <c r="R51" s="6">
        <v>0</v>
      </c>
      <c r="S51" s="9" t="s">
        <v>45</v>
      </c>
      <c r="T51" s="9" t="s">
        <v>465</v>
      </c>
    </row>
    <row r="52" spans="1:20" x14ac:dyDescent="0.25">
      <c r="A52" s="2" t="s">
        <v>37</v>
      </c>
      <c r="B52" s="2" t="s">
        <v>103</v>
      </c>
      <c r="C52" s="2" t="s">
        <v>303</v>
      </c>
      <c r="D52" s="2" t="s">
        <v>466</v>
      </c>
      <c r="E52" s="2" t="s">
        <v>434</v>
      </c>
      <c r="F52" s="2" t="s">
        <v>42</v>
      </c>
      <c r="G52" s="2" t="s">
        <v>7</v>
      </c>
      <c r="H52" s="2" t="s">
        <v>54</v>
      </c>
      <c r="I52" s="3">
        <v>46265.41666666667</v>
      </c>
      <c r="J52" s="2" t="s">
        <v>343</v>
      </c>
      <c r="K52" s="2" t="s">
        <v>107</v>
      </c>
      <c r="L52" s="4">
        <v>227.52</v>
      </c>
      <c r="M52" s="5">
        <f>IF(AND(ISNUMBER(N52),ISNUMBER(L52),L52&gt;0),ROUND(N52/L52,2),"")</f>
        <v>2505.27</v>
      </c>
      <c r="N52" s="6">
        <v>570000</v>
      </c>
      <c r="O52" s="7">
        <v>81.3612</v>
      </c>
      <c r="P52" s="8">
        <f>IF(AND(ISNUMBER(N52),ISNUMBER(O52),O52&gt;0),N52/(O52*10000),"")</f>
        <v>0.700579637468474</v>
      </c>
      <c r="Q52" s="6">
        <v>0</v>
      </c>
      <c r="R52" s="6">
        <v>0</v>
      </c>
      <c r="S52" s="9" t="s">
        <v>45</v>
      </c>
      <c r="T52" s="9" t="s">
        <v>467</v>
      </c>
    </row>
    <row r="53" spans="1:20" x14ac:dyDescent="0.25">
      <c r="A53" s="2" t="s">
        <v>37</v>
      </c>
      <c r="B53" s="2" t="s">
        <v>103</v>
      </c>
      <c r="C53" s="2" t="s">
        <v>122</v>
      </c>
      <c r="D53" s="2" t="s">
        <v>468</v>
      </c>
      <c r="E53" s="2" t="s">
        <v>469</v>
      </c>
      <c r="F53" s="2" t="s">
        <v>42</v>
      </c>
      <c r="G53" s="2" t="s">
        <v>7</v>
      </c>
      <c r="H53" s="2" t="s">
        <v>43</v>
      </c>
      <c r="I53" s="3">
        <v>46265.41666666667</v>
      </c>
      <c r="J53" s="2" t="s">
        <v>343</v>
      </c>
      <c r="K53" s="2" t="s">
        <v>125</v>
      </c>
      <c r="L53" s="4">
        <v>124.29</v>
      </c>
      <c r="M53" s="5">
        <f>IF(AND(ISNUMBER(N53),ISNUMBER(L53),L53&gt;0),ROUND(N53/L53,2),"")</f>
        <v>3072.01</v>
      </c>
      <c r="N53" s="6">
        <v>381820</v>
      </c>
      <c r="O53" s="7">
        <v>59.6592</v>
      </c>
      <c r="P53" s="8">
        <f>IF(AND(ISNUMBER(N53),ISNUMBER(O53),O53&gt;0),N53/(O53*10000),"")</f>
        <v>0.6400018773299005</v>
      </c>
      <c r="Q53" s="6">
        <v>0</v>
      </c>
      <c r="R53" s="6">
        <v>0</v>
      </c>
      <c r="S53" s="9" t="s">
        <v>45</v>
      </c>
      <c r="T53" s="9" t="s">
        <v>470</v>
      </c>
    </row>
    <row r="54" spans="1:20" x14ac:dyDescent="0.25">
      <c r="A54" s="2" t="s">
        <v>37</v>
      </c>
      <c r="B54" s="2" t="s">
        <v>103</v>
      </c>
      <c r="C54" s="2" t="s">
        <v>109</v>
      </c>
      <c r="D54" s="2" t="s">
        <v>471</v>
      </c>
      <c r="E54" s="2" t="s">
        <v>472</v>
      </c>
      <c r="F54" s="2" t="s">
        <v>42</v>
      </c>
      <c r="G54" s="2" t="s">
        <v>7</v>
      </c>
      <c r="H54" s="2" t="s">
        <v>54</v>
      </c>
      <c r="I54" s="3">
        <v>46265.41666666667</v>
      </c>
      <c r="J54" s="2" t="s">
        <v>343</v>
      </c>
      <c r="K54" s="2" t="s">
        <v>125</v>
      </c>
      <c r="L54" s="4">
        <v>89.83</v>
      </c>
      <c r="M54" s="5">
        <f>IF(AND(ISNUMBER(N54),ISNUMBER(L54),L54&gt;0),ROUND(N54/L54,2),"")</f>
        <v>8994.77</v>
      </c>
      <c r="N54" s="6">
        <v>808000</v>
      </c>
      <c r="O54" s="7">
        <v>101</v>
      </c>
      <c r="P54" s="8">
        <f>IF(AND(ISNUMBER(N54),ISNUMBER(O54),O54&gt;0),N54/(O54*10000),"")</f>
        <v>0.8</v>
      </c>
      <c r="Q54" s="6">
        <v>0</v>
      </c>
      <c r="R54" s="6">
        <v>0</v>
      </c>
      <c r="S54" s="9" t="s">
        <v>45</v>
      </c>
      <c r="T54" s="9" t="s">
        <v>473</v>
      </c>
    </row>
    <row r="55" spans="1:20" x14ac:dyDescent="0.25">
      <c r="A55" s="2" t="s">
        <v>37</v>
      </c>
      <c r="B55" s="2" t="s">
        <v>103</v>
      </c>
      <c r="C55" s="2" t="s">
        <v>132</v>
      </c>
      <c r="D55" s="2" t="s">
        <v>474</v>
      </c>
      <c r="E55" s="2" t="s">
        <v>475</v>
      </c>
      <c r="F55" s="2" t="s">
        <v>42</v>
      </c>
      <c r="G55" s="2" t="s">
        <v>7</v>
      </c>
      <c r="H55" s="2" t="s">
        <v>43</v>
      </c>
      <c r="I55" s="3">
        <v>46265.41666666667</v>
      </c>
      <c r="J55" s="2" t="s">
        <v>343</v>
      </c>
      <c r="K55" s="2" t="s">
        <v>120</v>
      </c>
      <c r="L55" s="4">
        <v>103.35</v>
      </c>
      <c r="M55" s="5">
        <f>IF(AND(ISNUMBER(N55),ISNUMBER(L55),L55&gt;0),ROUND(N55/L55,2),"")</f>
        <v>5019.64</v>
      </c>
      <c r="N55" s="6">
        <v>518780.24</v>
      </c>
      <c r="O55" s="7">
        <v>92.639329</v>
      </c>
      <c r="P55" s="8">
        <f>IF(AND(ISNUMBER(N55),ISNUMBER(O55),O55&gt;0),N55/(O55*10000),"")</f>
        <v>0.5599999974093076</v>
      </c>
      <c r="Q55" s="6">
        <v>0</v>
      </c>
      <c r="R55" s="6">
        <v>0</v>
      </c>
      <c r="S55" s="9" t="s">
        <v>45</v>
      </c>
      <c r="T55" s="9" t="s">
        <v>476</v>
      </c>
    </row>
    <row r="56" spans="1:20" x14ac:dyDescent="0.25">
      <c r="A56" s="2" t="s">
        <v>37</v>
      </c>
      <c r="B56" s="2" t="s">
        <v>103</v>
      </c>
      <c r="C56" s="2" t="s">
        <v>117</v>
      </c>
      <c r="D56" s="2" t="s">
        <v>477</v>
      </c>
      <c r="E56" s="2" t="s">
        <v>478</v>
      </c>
      <c r="F56" s="2" t="s">
        <v>42</v>
      </c>
      <c r="G56" s="2" t="s">
        <v>7</v>
      </c>
      <c r="H56" s="2" t="s">
        <v>54</v>
      </c>
      <c r="I56" s="3">
        <v>46265.41666666667</v>
      </c>
      <c r="J56" s="2" t="s">
        <v>343</v>
      </c>
      <c r="K56" s="2" t="s">
        <v>107</v>
      </c>
      <c r="L56" s="4">
        <v>89.95</v>
      </c>
      <c r="M56" s="5">
        <f>IF(AND(ISNUMBER(N56),ISNUMBER(L56),L56&gt;0),ROUND(N56/L56,2),"")</f>
        <v>5480.82</v>
      </c>
      <c r="N56" s="6">
        <v>493000</v>
      </c>
      <c r="O56" s="7">
        <v>61.56</v>
      </c>
      <c r="P56" s="8">
        <f>IF(AND(ISNUMBER(N56),ISNUMBER(O56),O56&gt;0),N56/(O56*10000),"")</f>
        <v>0.8008447043534763</v>
      </c>
      <c r="Q56" s="6">
        <v>0</v>
      </c>
      <c r="R56" s="6">
        <v>0</v>
      </c>
      <c r="S56" s="9" t="s">
        <v>45</v>
      </c>
      <c r="T56" s="9" t="s">
        <v>479</v>
      </c>
    </row>
    <row r="57" spans="1:20" x14ac:dyDescent="0.25">
      <c r="A57" s="2" t="s">
        <v>37</v>
      </c>
      <c r="B57" s="2" t="s">
        <v>103</v>
      </c>
      <c r="C57" s="2" t="s">
        <v>132</v>
      </c>
      <c r="D57" s="2" t="s">
        <v>480</v>
      </c>
      <c r="E57" s="2" t="s">
        <v>134</v>
      </c>
      <c r="F57" s="2" t="s">
        <v>42</v>
      </c>
      <c r="G57" s="2" t="s">
        <v>7</v>
      </c>
      <c r="H57" s="2" t="s">
        <v>54</v>
      </c>
      <c r="I57" s="3">
        <v>46265.41666666667</v>
      </c>
      <c r="J57" s="2" t="s">
        <v>343</v>
      </c>
      <c r="K57" s="2" t="s">
        <v>107</v>
      </c>
      <c r="L57" s="4">
        <v>195.54</v>
      </c>
      <c r="M57" s="5">
        <f>IF(AND(ISNUMBER(N57),ISNUMBER(L57),L57&gt;0),ROUND(N57/L57,2),"")</f>
        <v>4234.43</v>
      </c>
      <c r="N57" s="6">
        <v>828000</v>
      </c>
      <c r="O57" s="7">
        <v>103.49934300000001</v>
      </c>
      <c r="P57" s="8">
        <f>IF(AND(ISNUMBER(N57),ISNUMBER(O57),O57&gt;0),N57/(O57*10000),"")</f>
        <v>0.8000050782931056</v>
      </c>
      <c r="Q57" s="6">
        <v>0</v>
      </c>
      <c r="R57" s="6">
        <v>0</v>
      </c>
      <c r="S57" s="9" t="s">
        <v>45</v>
      </c>
      <c r="T57" s="9" t="s">
        <v>481</v>
      </c>
    </row>
    <row r="58" spans="1:20" x14ac:dyDescent="0.25">
      <c r="A58" s="2" t="s">
        <v>37</v>
      </c>
      <c r="B58" s="2" t="s">
        <v>103</v>
      </c>
      <c r="C58" s="2" t="s">
        <v>122</v>
      </c>
      <c r="D58" s="2" t="s">
        <v>482</v>
      </c>
      <c r="E58" s="2" t="s">
        <v>483</v>
      </c>
      <c r="F58" s="2" t="s">
        <v>42</v>
      </c>
      <c r="G58" s="2" t="s">
        <v>7</v>
      </c>
      <c r="H58" s="2" t="s">
        <v>43</v>
      </c>
      <c r="I58" s="3">
        <v>46264.41666666667</v>
      </c>
      <c r="J58" s="2" t="s">
        <v>343</v>
      </c>
      <c r="K58" s="2" t="s">
        <v>125</v>
      </c>
      <c r="L58" s="4">
        <v>106.27</v>
      </c>
      <c r="M58" s="5">
        <f>IF(AND(ISNUMBER(N58),ISNUMBER(L58),L58&gt;0),ROUND(N58/L58,2),"")</f>
        <v>2912.01</v>
      </c>
      <c r="N58" s="6">
        <v>309459</v>
      </c>
      <c r="O58" s="7">
        <v>55.2604</v>
      </c>
      <c r="P58" s="8">
        <f>IF(AND(ISNUMBER(N58),ISNUMBER(O58),O58&gt;0),N58/(O58*10000),"")</f>
        <v>0.5600013753067296</v>
      </c>
      <c r="Q58" s="6">
        <v>0</v>
      </c>
      <c r="R58" s="6">
        <v>0</v>
      </c>
      <c r="S58" s="9" t="s">
        <v>45</v>
      </c>
      <c r="T58" s="9" t="s">
        <v>484</v>
      </c>
    </row>
    <row r="59" spans="1:20" x14ac:dyDescent="0.25">
      <c r="A59" s="2" t="s">
        <v>37</v>
      </c>
      <c r="B59" s="2" t="s">
        <v>103</v>
      </c>
      <c r="C59" s="2" t="s">
        <v>132</v>
      </c>
      <c r="D59" s="2" t="s">
        <v>485</v>
      </c>
      <c r="E59" s="2" t="s">
        <v>53</v>
      </c>
      <c r="F59" s="2" t="s">
        <v>42</v>
      </c>
      <c r="G59" s="2" t="s">
        <v>7</v>
      </c>
      <c r="H59" s="2" t="s">
        <v>95</v>
      </c>
      <c r="I59" s="3">
        <v>46264.41666666667</v>
      </c>
      <c r="J59" s="2" t="s">
        <v>343</v>
      </c>
      <c r="K59" s="2" t="s">
        <v>107</v>
      </c>
      <c r="L59" s="4">
        <v>88.87</v>
      </c>
      <c r="M59" s="5">
        <f>IF(AND(ISNUMBER(N59),ISNUMBER(L59),L59&gt;0),ROUND(N59/L59,2),"")</f>
        <v>4680.99</v>
      </c>
      <c r="N59" s="6">
        <v>416000</v>
      </c>
      <c r="O59" s="7">
        <v>64.8751</v>
      </c>
      <c r="P59" s="8">
        <f>IF(AND(ISNUMBER(N59),ISNUMBER(O59),O59&gt;0),N59/(O59*10000),"")</f>
        <v>0.6412321522433106</v>
      </c>
      <c r="Q59" s="6">
        <v>0</v>
      </c>
      <c r="R59" s="6">
        <v>0</v>
      </c>
      <c r="S59" s="9" t="s">
        <v>45</v>
      </c>
      <c r="T59" s="9" t="s">
        <v>486</v>
      </c>
    </row>
    <row r="60" spans="1:20" x14ac:dyDescent="0.25">
      <c r="A60" s="2" t="s">
        <v>37</v>
      </c>
      <c r="B60" s="2" t="s">
        <v>103</v>
      </c>
      <c r="C60" s="2" t="s">
        <v>122</v>
      </c>
      <c r="D60" s="2" t="s">
        <v>487</v>
      </c>
      <c r="E60" s="2" t="s">
        <v>488</v>
      </c>
      <c r="F60" s="2" t="s">
        <v>349</v>
      </c>
      <c r="G60" s="2" t="s">
        <v>7</v>
      </c>
      <c r="H60" s="2" t="s">
        <v>43</v>
      </c>
      <c r="I60" s="3">
        <v>46264.41666666667</v>
      </c>
      <c r="J60" s="2" t="s">
        <v>343</v>
      </c>
      <c r="K60" s="2" t="s">
        <v>125</v>
      </c>
      <c r="L60" s="4">
        <v>145.95</v>
      </c>
      <c r="M60" s="5">
        <f>IF(AND(ISNUMBER(N60),ISNUMBER(L60),L60&gt;0),ROUND(N60/L60,2),"")</f>
        <v>2865.26</v>
      </c>
      <c r="N60" s="6">
        <v>418184</v>
      </c>
      <c r="O60" s="7">
        <v>74.6757</v>
      </c>
      <c r="P60" s="8">
        <f>IF(AND(ISNUMBER(N60),ISNUMBER(O60),O60&gt;0),N60/(O60*10000),"")</f>
        <v>0.5600001071298962</v>
      </c>
      <c r="Q60" s="6">
        <v>0</v>
      </c>
      <c r="R60" s="6">
        <v>0</v>
      </c>
      <c r="S60" s="9" t="s">
        <v>45</v>
      </c>
      <c r="T60" s="9" t="s">
        <v>489</v>
      </c>
    </row>
    <row r="61" spans="1:20" x14ac:dyDescent="0.25">
      <c r="A61" s="2" t="s">
        <v>37</v>
      </c>
      <c r="B61" s="2" t="s">
        <v>103</v>
      </c>
      <c r="C61" s="2" t="s">
        <v>117</v>
      </c>
      <c r="D61" s="2" t="s">
        <v>490</v>
      </c>
      <c r="E61" s="2" t="s">
        <v>491</v>
      </c>
      <c r="F61" s="2" t="s">
        <v>42</v>
      </c>
      <c r="G61" s="2" t="s">
        <v>7</v>
      </c>
      <c r="H61" s="2" t="s">
        <v>43</v>
      </c>
      <c r="I61" s="3">
        <v>46264.41666666667</v>
      </c>
      <c r="J61" s="2" t="s">
        <v>343</v>
      </c>
      <c r="K61" s="2" t="s">
        <v>120</v>
      </c>
      <c r="L61" s="4">
        <v>87.92</v>
      </c>
      <c r="M61" s="5">
        <f>IF(AND(ISNUMBER(N61),ISNUMBER(L61),L61&gt;0),ROUND(N61/L61,2),"")</f>
        <v>4695.54</v>
      </c>
      <c r="N61" s="6">
        <v>412832</v>
      </c>
      <c r="O61" s="7">
        <v>73.72</v>
      </c>
      <c r="P61" s="8">
        <f>IF(AND(ISNUMBER(N61),ISNUMBER(O61),O61&gt;0),N61/(O61*10000),"")</f>
        <v>0.56</v>
      </c>
      <c r="Q61" s="6">
        <v>0</v>
      </c>
      <c r="R61" s="6">
        <v>0</v>
      </c>
      <c r="S61" s="9" t="s">
        <v>45</v>
      </c>
      <c r="T61" s="9" t="s">
        <v>492</v>
      </c>
    </row>
    <row r="62" spans="1:20" x14ac:dyDescent="0.25">
      <c r="A62" s="2" t="s">
        <v>37</v>
      </c>
      <c r="B62" s="2" t="s">
        <v>103</v>
      </c>
      <c r="C62" s="2" t="s">
        <v>109</v>
      </c>
      <c r="D62" s="2" t="s">
        <v>493</v>
      </c>
      <c r="E62" s="2" t="s">
        <v>494</v>
      </c>
      <c r="F62" s="2" t="s">
        <v>42</v>
      </c>
      <c r="G62" s="2" t="s">
        <v>7</v>
      </c>
      <c r="H62" s="2" t="s">
        <v>95</v>
      </c>
      <c r="I62" s="3">
        <v>46264.41666666667</v>
      </c>
      <c r="J62" s="2" t="s">
        <v>343</v>
      </c>
      <c r="K62" s="2" t="s">
        <v>107</v>
      </c>
      <c r="L62" s="4">
        <v>64.99</v>
      </c>
      <c r="M62" s="5">
        <f>IF(AND(ISNUMBER(N62),ISNUMBER(L62),L62&gt;0),ROUND(N62/L62,2),"")</f>
        <v>5539.31</v>
      </c>
      <c r="N62" s="6">
        <v>360000</v>
      </c>
      <c r="O62" s="7">
        <v>55.61</v>
      </c>
      <c r="P62" s="8">
        <f>IF(AND(ISNUMBER(N62),ISNUMBER(O62),O62&gt;0),N62/(O62*10000),"")</f>
        <v>0.6473655817299047</v>
      </c>
      <c r="Q62" s="6">
        <v>0</v>
      </c>
      <c r="R62" s="6">
        <v>0</v>
      </c>
      <c r="S62" s="9" t="s">
        <v>45</v>
      </c>
      <c r="T62" s="9" t="s">
        <v>495</v>
      </c>
    </row>
    <row r="63" spans="1:20" x14ac:dyDescent="0.25">
      <c r="A63" s="2" t="s">
        <v>37</v>
      </c>
      <c r="B63" s="2" t="s">
        <v>103</v>
      </c>
      <c r="C63" s="2" t="s">
        <v>113</v>
      </c>
      <c r="D63" s="2" t="s">
        <v>496</v>
      </c>
      <c r="E63" s="2" t="s">
        <v>497</v>
      </c>
      <c r="F63" s="2" t="s">
        <v>42</v>
      </c>
      <c r="G63" s="2" t="s">
        <v>7</v>
      </c>
      <c r="H63" s="2" t="s">
        <v>95</v>
      </c>
      <c r="I63" s="3">
        <v>46264.41666666667</v>
      </c>
      <c r="J63" s="2" t="s">
        <v>343</v>
      </c>
      <c r="K63" s="2" t="s">
        <v>107</v>
      </c>
      <c r="L63" s="4">
        <v>95.35</v>
      </c>
      <c r="M63" s="5">
        <f>IF(AND(ISNUMBER(N63),ISNUMBER(L63),L63&gt;0),ROUND(N63/L63,2),"")</f>
        <v>7341.37</v>
      </c>
      <c r="N63" s="6">
        <v>700000</v>
      </c>
      <c r="O63" s="7">
        <v>107.74</v>
      </c>
      <c r="P63" s="8">
        <f>IF(AND(ISNUMBER(N63),ISNUMBER(O63),O63&gt;0),N63/(O63*10000),"")</f>
        <v>0.6497122702803044</v>
      </c>
      <c r="Q63" s="6">
        <v>0</v>
      </c>
      <c r="R63" s="6">
        <v>0</v>
      </c>
      <c r="S63" s="9" t="s">
        <v>45</v>
      </c>
      <c r="T63" s="9" t="s">
        <v>498</v>
      </c>
    </row>
    <row r="64" spans="1:20" x14ac:dyDescent="0.25">
      <c r="A64" s="2" t="s">
        <v>37</v>
      </c>
      <c r="B64" s="2" t="s">
        <v>103</v>
      </c>
      <c r="C64" s="2" t="s">
        <v>104</v>
      </c>
      <c r="D64" s="2" t="s">
        <v>499</v>
      </c>
      <c r="E64" s="2" t="s">
        <v>500</v>
      </c>
      <c r="F64" s="2" t="s">
        <v>42</v>
      </c>
      <c r="G64" s="2" t="s">
        <v>7</v>
      </c>
      <c r="H64" s="2" t="s">
        <v>43</v>
      </c>
      <c r="I64" s="3">
        <v>46264.41666666667</v>
      </c>
      <c r="J64" s="2" t="s">
        <v>343</v>
      </c>
      <c r="K64" s="2" t="s">
        <v>120</v>
      </c>
      <c r="L64" s="4">
        <v>104.94</v>
      </c>
      <c r="M64" s="5">
        <f>IF(AND(ISNUMBER(N64),ISNUMBER(L64),L64&gt;0),ROUND(N64/L64,2),"")</f>
        <v>8103.3</v>
      </c>
      <c r="N64" s="6">
        <v>850360</v>
      </c>
      <c r="O64" s="7">
        <v>151.85</v>
      </c>
      <c r="P64" s="8">
        <f>IF(AND(ISNUMBER(N64),ISNUMBER(O64),O64&gt;0),N64/(O64*10000),"")</f>
        <v>0.56</v>
      </c>
      <c r="Q64" s="6">
        <v>0</v>
      </c>
      <c r="R64" s="6">
        <v>0</v>
      </c>
      <c r="S64" s="9" t="s">
        <v>45</v>
      </c>
      <c r="T64" s="9" t="s">
        <v>501</v>
      </c>
    </row>
    <row r="65" spans="1:20" x14ac:dyDescent="0.25">
      <c r="A65" s="2" t="s">
        <v>37</v>
      </c>
      <c r="B65" s="2" t="s">
        <v>103</v>
      </c>
      <c r="C65" s="2" t="s">
        <v>113</v>
      </c>
      <c r="D65" s="2" t="s">
        <v>502</v>
      </c>
      <c r="E65" s="2" t="s">
        <v>503</v>
      </c>
      <c r="F65" s="2" t="s">
        <v>42</v>
      </c>
      <c r="G65" s="2" t="s">
        <v>7</v>
      </c>
      <c r="H65" s="2" t="s">
        <v>95</v>
      </c>
      <c r="I65" s="3">
        <v>46264.41666666667</v>
      </c>
      <c r="J65" s="2" t="s">
        <v>343</v>
      </c>
      <c r="K65" s="2" t="s">
        <v>107</v>
      </c>
      <c r="L65" s="4">
        <v>120.37</v>
      </c>
      <c r="M65" s="5">
        <f>IF(AND(ISNUMBER(N65),ISNUMBER(L65),L65&gt;0),ROUND(N65/L65,2),"")</f>
        <v>6313.87</v>
      </c>
      <c r="N65" s="6">
        <v>760000</v>
      </c>
      <c r="O65" s="7">
        <v>116.4</v>
      </c>
      <c r="P65" s="8">
        <f>IF(AND(ISNUMBER(N65),ISNUMBER(O65),O65&gt;0),N65/(O65*10000),"")</f>
        <v>0.6529209621993127</v>
      </c>
      <c r="Q65" s="6">
        <v>0</v>
      </c>
      <c r="R65" s="6">
        <v>0</v>
      </c>
      <c r="S65" s="9" t="s">
        <v>45</v>
      </c>
      <c r="T65" s="9" t="s">
        <v>504</v>
      </c>
    </row>
    <row r="66" spans="1:20" x14ac:dyDescent="0.25">
      <c r="A66" s="2" t="s">
        <v>37</v>
      </c>
      <c r="B66" s="2" t="s">
        <v>103</v>
      </c>
      <c r="C66" s="2" t="s">
        <v>104</v>
      </c>
      <c r="D66" s="2" t="s">
        <v>505</v>
      </c>
      <c r="E66" s="2" t="s">
        <v>440</v>
      </c>
      <c r="F66" s="2" t="s">
        <v>42</v>
      </c>
      <c r="G66" s="2" t="s">
        <v>7</v>
      </c>
      <c r="H66" s="2" t="s">
        <v>95</v>
      </c>
      <c r="I66" s="3">
        <v>46264.41666666667</v>
      </c>
      <c r="J66" s="2" t="s">
        <v>343</v>
      </c>
      <c r="K66" s="2" t="s">
        <v>107</v>
      </c>
      <c r="L66" s="4">
        <v>86.7</v>
      </c>
      <c r="M66" s="5">
        <f>IF(AND(ISNUMBER(N66),ISNUMBER(L66),L66&gt;0),ROUND(N66/L66,2),"")</f>
        <v>6828.14</v>
      </c>
      <c r="N66" s="6">
        <v>592000</v>
      </c>
      <c r="O66" s="7">
        <v>91.94</v>
      </c>
      <c r="P66" s="8">
        <f>IF(AND(ISNUMBER(N66),ISNUMBER(O66),O66&gt;0),N66/(O66*10000),"")</f>
        <v>0.6438981944746573</v>
      </c>
      <c r="Q66" s="6">
        <v>0</v>
      </c>
      <c r="R66" s="6">
        <v>0</v>
      </c>
      <c r="S66" s="9" t="s">
        <v>45</v>
      </c>
      <c r="T66" s="9" t="s">
        <v>506</v>
      </c>
    </row>
    <row r="67" spans="1:20" x14ac:dyDescent="0.25">
      <c r="A67" s="2" t="s">
        <v>37</v>
      </c>
      <c r="B67" s="2" t="s">
        <v>103</v>
      </c>
      <c r="C67" s="2" t="s">
        <v>109</v>
      </c>
      <c r="D67" s="2" t="s">
        <v>507</v>
      </c>
      <c r="E67" s="2" t="s">
        <v>494</v>
      </c>
      <c r="F67" s="2" t="s">
        <v>42</v>
      </c>
      <c r="G67" s="2" t="s">
        <v>7</v>
      </c>
      <c r="H67" s="2" t="s">
        <v>95</v>
      </c>
      <c r="I67" s="3">
        <v>46264.41666666667</v>
      </c>
      <c r="J67" s="2" t="s">
        <v>343</v>
      </c>
      <c r="K67" s="2" t="s">
        <v>107</v>
      </c>
      <c r="L67" s="4">
        <v>110.51</v>
      </c>
      <c r="M67" s="5">
        <f>IF(AND(ISNUMBER(N67),ISNUMBER(L67),L67&gt;0),ROUND(N67/L67,2),"")</f>
        <v>5700.84</v>
      </c>
      <c r="N67" s="6">
        <v>630000</v>
      </c>
      <c r="O67" s="7">
        <v>96.35</v>
      </c>
      <c r="P67" s="8">
        <f>IF(AND(ISNUMBER(N67),ISNUMBER(O67),O67&gt;0),N67/(O67*10000),"")</f>
        <v>0.6538661131292164</v>
      </c>
      <c r="Q67" s="6">
        <v>0</v>
      </c>
      <c r="R67" s="6">
        <v>0</v>
      </c>
      <c r="S67" s="9" t="s">
        <v>45</v>
      </c>
      <c r="T67" s="9" t="s">
        <v>508</v>
      </c>
    </row>
    <row r="68" spans="1:20" x14ac:dyDescent="0.25">
      <c r="A68" s="2" t="s">
        <v>37</v>
      </c>
      <c r="B68" s="2" t="s">
        <v>103</v>
      </c>
      <c r="C68" s="2" t="s">
        <v>113</v>
      </c>
      <c r="D68" s="2" t="s">
        <v>509</v>
      </c>
      <c r="E68" s="2" t="s">
        <v>510</v>
      </c>
      <c r="F68" s="2" t="s">
        <v>42</v>
      </c>
      <c r="G68" s="2" t="s">
        <v>7</v>
      </c>
      <c r="H68" s="2" t="s">
        <v>43</v>
      </c>
      <c r="I68" s="3">
        <v>46264.41666666667</v>
      </c>
      <c r="J68" s="2" t="s">
        <v>343</v>
      </c>
      <c r="K68" s="2" t="s">
        <v>120</v>
      </c>
      <c r="L68" s="4">
        <v>123.95</v>
      </c>
      <c r="M68" s="5">
        <f>IF(AND(ISNUMBER(N68),ISNUMBER(L68),L68&gt;0),ROUND(N68/L68,2),"")</f>
        <v>6735.03</v>
      </c>
      <c r="N68" s="6">
        <v>834806.56</v>
      </c>
      <c r="O68" s="7">
        <v>149.0726</v>
      </c>
      <c r="P68" s="8">
        <f>IF(AND(ISNUMBER(N68),ISNUMBER(O68),O68&gt;0),N68/(O68*10000),"")</f>
        <v>0.56</v>
      </c>
      <c r="Q68" s="6">
        <v>0</v>
      </c>
      <c r="R68" s="6">
        <v>0</v>
      </c>
      <c r="S68" s="9" t="s">
        <v>45</v>
      </c>
      <c r="T68" s="9" t="s">
        <v>511</v>
      </c>
    </row>
    <row r="69" spans="1:20" x14ac:dyDescent="0.25">
      <c r="A69" s="2" t="s">
        <v>37</v>
      </c>
      <c r="B69" s="2" t="s">
        <v>103</v>
      </c>
      <c r="C69" s="2" t="s">
        <v>132</v>
      </c>
      <c r="D69" s="2" t="s">
        <v>512</v>
      </c>
      <c r="E69" s="2" t="s">
        <v>513</v>
      </c>
      <c r="F69" s="2" t="s">
        <v>42</v>
      </c>
      <c r="G69" s="2" t="s">
        <v>7</v>
      </c>
      <c r="H69" s="2" t="s">
        <v>95</v>
      </c>
      <c r="I69" s="3">
        <v>46264.41666666667</v>
      </c>
      <c r="J69" s="2" t="s">
        <v>343</v>
      </c>
      <c r="K69" s="2" t="s">
        <v>107</v>
      </c>
      <c r="L69" s="4">
        <v>129.88</v>
      </c>
      <c r="M69" s="5">
        <f>IF(AND(ISNUMBER(N69),ISNUMBER(L69),L69&gt;0),ROUND(N69/L69,2),"")</f>
        <v>8192.18</v>
      </c>
      <c r="N69" s="6">
        <v>1064000</v>
      </c>
      <c r="O69" s="7">
        <v>165.73</v>
      </c>
      <c r="P69" s="8">
        <f>IF(AND(ISNUMBER(N69),ISNUMBER(O69),O69&gt;0),N69/(O69*10000),"")</f>
        <v>0.6420080854401737</v>
      </c>
      <c r="Q69" s="6">
        <v>0</v>
      </c>
      <c r="R69" s="6">
        <v>0</v>
      </c>
      <c r="S69" s="9" t="s">
        <v>45</v>
      </c>
      <c r="T69" s="9" t="s">
        <v>514</v>
      </c>
    </row>
    <row r="70" spans="1:20" x14ac:dyDescent="0.25">
      <c r="A70" s="2" t="s">
        <v>37</v>
      </c>
      <c r="B70" s="2" t="s">
        <v>103</v>
      </c>
      <c r="C70" s="2" t="s">
        <v>122</v>
      </c>
      <c r="D70" s="2" t="s">
        <v>515</v>
      </c>
      <c r="E70" s="2" t="s">
        <v>516</v>
      </c>
      <c r="F70" s="2" t="s">
        <v>42</v>
      </c>
      <c r="G70" s="2" t="s">
        <v>7</v>
      </c>
      <c r="H70" s="2" t="s">
        <v>43</v>
      </c>
      <c r="I70" s="3">
        <v>46264.41666666667</v>
      </c>
      <c r="J70" s="2" t="s">
        <v>343</v>
      </c>
      <c r="K70" s="2" t="s">
        <v>125</v>
      </c>
      <c r="L70" s="4">
        <v>140.96</v>
      </c>
      <c r="M70" s="5">
        <f>IF(AND(ISNUMBER(N70),ISNUMBER(L70),L70&gt;0),ROUND(N70/L70,2),"")</f>
        <v>2236.55</v>
      </c>
      <c r="N70" s="6">
        <v>315264</v>
      </c>
      <c r="O70" s="7">
        <v>49.26</v>
      </c>
      <c r="P70" s="8">
        <f>IF(AND(ISNUMBER(N70),ISNUMBER(O70),O70&gt;0),N70/(O70*10000),"")</f>
        <v>0.64</v>
      </c>
      <c r="Q70" s="6">
        <v>0</v>
      </c>
      <c r="R70" s="6">
        <v>0</v>
      </c>
      <c r="S70" s="9" t="s">
        <v>45</v>
      </c>
      <c r="T70" s="9" t="s">
        <v>517</v>
      </c>
    </row>
    <row r="71" spans="1:20" x14ac:dyDescent="0.25">
      <c r="A71" s="2" t="s">
        <v>37</v>
      </c>
      <c r="B71" s="2" t="s">
        <v>103</v>
      </c>
      <c r="C71" s="2" t="s">
        <v>109</v>
      </c>
      <c r="D71" s="2" t="s">
        <v>518</v>
      </c>
      <c r="E71" s="2" t="s">
        <v>494</v>
      </c>
      <c r="F71" s="2" t="s">
        <v>42</v>
      </c>
      <c r="G71" s="2" t="s">
        <v>7</v>
      </c>
      <c r="H71" s="2" t="s">
        <v>95</v>
      </c>
      <c r="I71" s="3">
        <v>46264.41666666667</v>
      </c>
      <c r="J71" s="2" t="s">
        <v>343</v>
      </c>
      <c r="K71" s="2" t="s">
        <v>107</v>
      </c>
      <c r="L71" s="4">
        <v>61.66</v>
      </c>
      <c r="M71" s="5">
        <f>IF(AND(ISNUMBER(N71),ISNUMBER(L71),L71&gt;0),ROUND(N71/L71,2),"")</f>
        <v>6487.19</v>
      </c>
      <c r="N71" s="6">
        <v>400000</v>
      </c>
      <c r="O71" s="7">
        <v>61.86</v>
      </c>
      <c r="P71" s="8">
        <f>IF(AND(ISNUMBER(N71),ISNUMBER(O71),O71&gt;0),N71/(O71*10000),"")</f>
        <v>0.6466214031684449</v>
      </c>
      <c r="Q71" s="6">
        <v>0</v>
      </c>
      <c r="R71" s="6">
        <v>0</v>
      </c>
      <c r="S71" s="9" t="s">
        <v>45</v>
      </c>
      <c r="T71" s="9" t="s">
        <v>519</v>
      </c>
    </row>
    <row r="72" spans="1:20" x14ac:dyDescent="0.25">
      <c r="A72" s="2" t="s">
        <v>37</v>
      </c>
      <c r="B72" s="2" t="s">
        <v>103</v>
      </c>
      <c r="C72" s="2" t="s">
        <v>109</v>
      </c>
      <c r="D72" s="2" t="s">
        <v>520</v>
      </c>
      <c r="E72" s="2" t="s">
        <v>521</v>
      </c>
      <c r="F72" s="2" t="s">
        <v>42</v>
      </c>
      <c r="G72" s="2" t="s">
        <v>7</v>
      </c>
      <c r="H72" s="2" t="s">
        <v>54</v>
      </c>
      <c r="I72" s="3">
        <v>46263.41666666667</v>
      </c>
      <c r="J72" s="2" t="s">
        <v>343</v>
      </c>
      <c r="K72" s="2" t="s">
        <v>125</v>
      </c>
      <c r="L72" s="4">
        <v>128.03</v>
      </c>
      <c r="M72" s="5">
        <f>IF(AND(ISNUMBER(N72),ISNUMBER(L72),L72&gt;0),ROUND(N72/L72,2),"")</f>
        <v>8294.93</v>
      </c>
      <c r="N72" s="6">
        <v>1062000</v>
      </c>
      <c r="O72" s="7">
        <v>151.58751999999998</v>
      </c>
      <c r="P72" s="8">
        <f>IF(AND(ISNUMBER(N72),ISNUMBER(O72),O72&gt;0),N72/(O72*10000),"")</f>
        <v>0.700585378004733</v>
      </c>
      <c r="Q72" s="6">
        <v>0</v>
      </c>
      <c r="R72" s="6">
        <v>0</v>
      </c>
      <c r="S72" s="9" t="s">
        <v>45</v>
      </c>
      <c r="T72" s="9" t="s">
        <v>522</v>
      </c>
    </row>
    <row r="73" spans="1:20" x14ac:dyDescent="0.25">
      <c r="A73" s="2" t="s">
        <v>37</v>
      </c>
      <c r="B73" s="2" t="s">
        <v>103</v>
      </c>
      <c r="C73" s="2" t="s">
        <v>122</v>
      </c>
      <c r="D73" s="2" t="s">
        <v>523</v>
      </c>
      <c r="E73" s="2" t="s">
        <v>524</v>
      </c>
      <c r="F73" s="2" t="s">
        <v>42</v>
      </c>
      <c r="G73" s="2" t="s">
        <v>7</v>
      </c>
      <c r="H73" s="2" t="s">
        <v>54</v>
      </c>
      <c r="I73" s="3">
        <v>46263.41666666667</v>
      </c>
      <c r="J73" s="2" t="s">
        <v>343</v>
      </c>
      <c r="K73" s="2" t="s">
        <v>323</v>
      </c>
      <c r="L73" s="4">
        <v>148.46</v>
      </c>
      <c r="M73" s="5">
        <f>IF(AND(ISNUMBER(N73),ISNUMBER(L73),L73&gt;0),ROUND(N73/L73,2),"")</f>
        <v>2224.61</v>
      </c>
      <c r="N73" s="6">
        <v>330265</v>
      </c>
      <c r="O73" s="7">
        <v>47.180606</v>
      </c>
      <c r="P73" s="8">
        <f>IF(AND(ISNUMBER(N73),ISNUMBER(O73),O73&gt;0),N73/(O73*10000),"")</f>
        <v>0.7000016065923359</v>
      </c>
      <c r="Q73" s="6">
        <v>0</v>
      </c>
      <c r="R73" s="6">
        <v>0</v>
      </c>
      <c r="S73" s="9" t="s">
        <v>45</v>
      </c>
      <c r="T73" s="9" t="s">
        <v>525</v>
      </c>
    </row>
    <row r="74" spans="1:20" x14ac:dyDescent="0.25">
      <c r="A74" s="2" t="s">
        <v>37</v>
      </c>
      <c r="B74" s="2" t="s">
        <v>103</v>
      </c>
      <c r="C74" s="2" t="s">
        <v>117</v>
      </c>
      <c r="D74" s="2" t="s">
        <v>526</v>
      </c>
      <c r="E74" s="2" t="s">
        <v>527</v>
      </c>
      <c r="F74" s="2" t="s">
        <v>42</v>
      </c>
      <c r="G74" s="2" t="s">
        <v>7</v>
      </c>
      <c r="H74" s="2" t="s">
        <v>54</v>
      </c>
      <c r="I74" s="3">
        <v>46263.41666666667</v>
      </c>
      <c r="J74" s="2" t="s">
        <v>343</v>
      </c>
      <c r="K74" s="2" t="s">
        <v>120</v>
      </c>
      <c r="L74" s="4">
        <v>133.13</v>
      </c>
      <c r="M74" s="5">
        <f>IF(AND(ISNUMBER(N74),ISNUMBER(L74),L74&gt;0),ROUND(N74/L74,2),"")</f>
        <v>3137.99</v>
      </c>
      <c r="N74" s="6">
        <v>417760</v>
      </c>
      <c r="O74" s="7">
        <v>59.68</v>
      </c>
      <c r="P74" s="8">
        <f>IF(AND(ISNUMBER(N74),ISNUMBER(O74),O74&gt;0),N74/(O74*10000),"")</f>
        <v>0.7</v>
      </c>
      <c r="Q74" s="6">
        <v>0</v>
      </c>
      <c r="R74" s="6">
        <v>0</v>
      </c>
      <c r="S74" s="9" t="s">
        <v>45</v>
      </c>
      <c r="T74" s="9" t="s">
        <v>528</v>
      </c>
    </row>
    <row r="75" spans="1:20" x14ac:dyDescent="0.25">
      <c r="A75" s="2" t="s">
        <v>37</v>
      </c>
      <c r="B75" s="2" t="s">
        <v>103</v>
      </c>
      <c r="C75" s="2" t="s">
        <v>117</v>
      </c>
      <c r="D75" s="2" t="s">
        <v>529</v>
      </c>
      <c r="E75" s="2" t="s">
        <v>530</v>
      </c>
      <c r="F75" s="2" t="s">
        <v>42</v>
      </c>
      <c r="G75" s="2" t="s">
        <v>7</v>
      </c>
      <c r="H75" s="2" t="s">
        <v>54</v>
      </c>
      <c r="I75" s="3">
        <v>46263.41666666667</v>
      </c>
      <c r="J75" s="2" t="s">
        <v>343</v>
      </c>
      <c r="K75" s="2" t="s">
        <v>125</v>
      </c>
      <c r="L75" s="4">
        <v>146.61</v>
      </c>
      <c r="M75" s="5">
        <f>IF(AND(ISNUMBER(N75),ISNUMBER(L75),L75&gt;0),ROUND(N75/L75,2),"")</f>
        <v>5327.06</v>
      </c>
      <c r="N75" s="6">
        <v>781000</v>
      </c>
      <c r="O75" s="7">
        <v>104.0931</v>
      </c>
      <c r="P75" s="8">
        <f>IF(AND(ISNUMBER(N75),ISNUMBER(O75),O75&gt;0),N75/(O75*10000),"")</f>
        <v>0.7502898847281904</v>
      </c>
      <c r="Q75" s="6">
        <v>0</v>
      </c>
      <c r="R75" s="6">
        <v>0</v>
      </c>
      <c r="S75" s="9" t="s">
        <v>45</v>
      </c>
      <c r="T75" s="9" t="s">
        <v>531</v>
      </c>
    </row>
    <row r="76" spans="1:20" x14ac:dyDescent="0.25">
      <c r="A76" s="2" t="s">
        <v>37</v>
      </c>
      <c r="B76" s="2" t="s">
        <v>103</v>
      </c>
      <c r="C76" s="2" t="s">
        <v>117</v>
      </c>
      <c r="D76" s="2" t="s">
        <v>532</v>
      </c>
      <c r="E76" s="2" t="s">
        <v>533</v>
      </c>
      <c r="F76" s="2" t="s">
        <v>42</v>
      </c>
      <c r="G76" s="2" t="s">
        <v>7</v>
      </c>
      <c r="H76" s="2" t="s">
        <v>54</v>
      </c>
      <c r="I76" s="3">
        <v>46263.41666666667</v>
      </c>
      <c r="J76" s="2" t="s">
        <v>343</v>
      </c>
      <c r="K76" s="2" t="s">
        <v>120</v>
      </c>
      <c r="L76" s="4">
        <v>71.6</v>
      </c>
      <c r="M76" s="5">
        <f>IF(AND(ISNUMBER(N76),ISNUMBER(L76),L76&gt;0),ROUND(N76/L76,2),"")</f>
        <v>3695.53</v>
      </c>
      <c r="N76" s="6">
        <v>264600</v>
      </c>
      <c r="O76" s="7">
        <v>37.8</v>
      </c>
      <c r="P76" s="8">
        <f>IF(AND(ISNUMBER(N76),ISNUMBER(O76),O76&gt;0),N76/(O76*10000),"")</f>
        <v>0.7</v>
      </c>
      <c r="Q76" s="6">
        <v>0</v>
      </c>
      <c r="R76" s="6">
        <v>0</v>
      </c>
      <c r="S76" s="9" t="s">
        <v>45</v>
      </c>
      <c r="T76" s="9" t="s">
        <v>534</v>
      </c>
    </row>
    <row r="77" spans="1:20" x14ac:dyDescent="0.25">
      <c r="A77" s="2" t="s">
        <v>37</v>
      </c>
      <c r="B77" s="2" t="s">
        <v>103</v>
      </c>
      <c r="C77" s="2" t="s">
        <v>303</v>
      </c>
      <c r="D77" s="2" t="s">
        <v>535</v>
      </c>
      <c r="E77" s="2" t="s">
        <v>305</v>
      </c>
      <c r="F77" s="2" t="s">
        <v>42</v>
      </c>
      <c r="G77" s="2" t="s">
        <v>7</v>
      </c>
      <c r="H77" s="2" t="s">
        <v>54</v>
      </c>
      <c r="I77" s="3">
        <v>46262.41666666667</v>
      </c>
      <c r="J77" s="2" t="s">
        <v>343</v>
      </c>
      <c r="K77" s="2" t="s">
        <v>306</v>
      </c>
      <c r="L77" s="4">
        <v>462.93</v>
      </c>
      <c r="M77" s="5">
        <f>IF(AND(ISNUMBER(N77),ISNUMBER(L77),L77&gt;0),ROUND(N77/L77,2),"")</f>
        <v>7985.66</v>
      </c>
      <c r="N77" s="6">
        <v>3696800</v>
      </c>
      <c r="O77" s="7">
        <v>528.11</v>
      </c>
      <c r="P77" s="8">
        <f>IF(AND(ISNUMBER(N77),ISNUMBER(O77),O77&gt;0),N77/(O77*10000),"")</f>
        <v>0.7000056806347162</v>
      </c>
      <c r="Q77" s="6">
        <v>0</v>
      </c>
      <c r="R77" s="6">
        <v>0</v>
      </c>
      <c r="S77" s="9" t="s">
        <v>45</v>
      </c>
      <c r="T77" s="9" t="s">
        <v>536</v>
      </c>
    </row>
    <row r="78" spans="1:20" x14ac:dyDescent="0.25">
      <c r="A78" s="2" t="s">
        <v>37</v>
      </c>
      <c r="B78" s="2" t="s">
        <v>103</v>
      </c>
      <c r="C78" s="2" t="s">
        <v>303</v>
      </c>
      <c r="D78" s="2" t="s">
        <v>537</v>
      </c>
      <c r="E78" s="2" t="s">
        <v>305</v>
      </c>
      <c r="F78" s="2" t="s">
        <v>42</v>
      </c>
      <c r="G78" s="2" t="s">
        <v>7</v>
      </c>
      <c r="H78" s="2" t="s">
        <v>54</v>
      </c>
      <c r="I78" s="3">
        <v>46262.41666666667</v>
      </c>
      <c r="J78" s="2" t="s">
        <v>343</v>
      </c>
      <c r="K78" s="2" t="s">
        <v>306</v>
      </c>
      <c r="L78" s="11" t="s">
        <v>307</v>
      </c>
      <c r="M78" s="5" t="str">
        <f>IF(AND(ISNUMBER(N78),ISNUMBER(L78),L78&gt;0),ROUND(N78/L78,2),"")</f>
        <v/>
      </c>
      <c r="N78" s="6">
        <v>8754000</v>
      </c>
      <c r="O78" s="7">
        <v>1250.48</v>
      </c>
      <c r="P78" s="8">
        <f>IF(AND(ISNUMBER(N78),ISNUMBER(O78),O78&gt;0),N78/(O78*10000),"")</f>
        <v>0.7000511803467468</v>
      </c>
      <c r="Q78" s="6">
        <v>0</v>
      </c>
      <c r="R78" s="6">
        <v>1</v>
      </c>
      <c r="S78" s="2" t="s">
        <v>403</v>
      </c>
      <c r="T78" s="9" t="s">
        <v>538</v>
      </c>
    </row>
    <row r="79" spans="1:20" x14ac:dyDescent="0.25">
      <c r="A79" s="2" t="s">
        <v>37</v>
      </c>
      <c r="B79" s="2" t="s">
        <v>103</v>
      </c>
      <c r="C79" s="2" t="s">
        <v>122</v>
      </c>
      <c r="D79" s="2" t="s">
        <v>539</v>
      </c>
      <c r="E79" s="2" t="s">
        <v>540</v>
      </c>
      <c r="F79" s="2" t="s">
        <v>42</v>
      </c>
      <c r="G79" s="2" t="s">
        <v>7</v>
      </c>
      <c r="H79" s="2" t="s">
        <v>95</v>
      </c>
      <c r="I79" s="3">
        <v>46262.41666666667</v>
      </c>
      <c r="J79" s="2" t="s">
        <v>343</v>
      </c>
      <c r="K79" s="2" t="s">
        <v>125</v>
      </c>
      <c r="L79" s="4">
        <v>490.83</v>
      </c>
      <c r="M79" s="5">
        <f>IF(AND(ISNUMBER(N79),ISNUMBER(L79),L79&gt;0),ROUND(N79/L79,2),"")</f>
        <v>11825.8</v>
      </c>
      <c r="N79" s="6">
        <v>5804456</v>
      </c>
      <c r="O79" s="7">
        <v>1036.51</v>
      </c>
      <c r="P79" s="8">
        <f>IF(AND(ISNUMBER(N79),ISNUMBER(O79),O79&gt;0),N79/(O79*10000),"")</f>
        <v>0.56</v>
      </c>
      <c r="Q79" s="6">
        <v>0</v>
      </c>
      <c r="R79" s="6">
        <v>0</v>
      </c>
      <c r="S79" s="9" t="s">
        <v>45</v>
      </c>
      <c r="T79" s="9" t="s">
        <v>541</v>
      </c>
    </row>
    <row r="80" spans="1:20" x14ac:dyDescent="0.25">
      <c r="A80" s="2" t="s">
        <v>37</v>
      </c>
      <c r="B80" s="2" t="s">
        <v>103</v>
      </c>
      <c r="C80" s="2" t="s">
        <v>122</v>
      </c>
      <c r="D80" s="2" t="s">
        <v>542</v>
      </c>
      <c r="E80" s="2" t="s">
        <v>543</v>
      </c>
      <c r="F80" s="2" t="s">
        <v>42</v>
      </c>
      <c r="G80" s="2" t="s">
        <v>7</v>
      </c>
      <c r="H80" s="2" t="s">
        <v>43</v>
      </c>
      <c r="I80" s="3">
        <v>46262.41666666667</v>
      </c>
      <c r="J80" s="2" t="s">
        <v>343</v>
      </c>
      <c r="K80" s="2" t="s">
        <v>323</v>
      </c>
      <c r="L80" s="4">
        <v>150.31</v>
      </c>
      <c r="M80" s="5">
        <f>IF(AND(ISNUMBER(N80),ISNUMBER(L80),L80&gt;0),ROUND(N80/L80,2),"")</f>
        <v>2395.05</v>
      </c>
      <c r="N80" s="6">
        <v>360000</v>
      </c>
      <c r="O80" s="7">
        <v>64.0546</v>
      </c>
      <c r="P80" s="8">
        <f>IF(AND(ISNUMBER(N80),ISNUMBER(O80),O80&gt;0),N80/(O80*10000),"")</f>
        <v>0.5620205262385528</v>
      </c>
      <c r="Q80" s="6">
        <v>0</v>
      </c>
      <c r="R80" s="6">
        <v>0</v>
      </c>
      <c r="S80" s="9" t="s">
        <v>45</v>
      </c>
      <c r="T80" s="9" t="s">
        <v>544</v>
      </c>
    </row>
    <row r="81" spans="1:20" x14ac:dyDescent="0.25">
      <c r="A81" s="2" t="s">
        <v>37</v>
      </c>
      <c r="B81" s="2" t="s">
        <v>103</v>
      </c>
      <c r="C81" s="2" t="s">
        <v>122</v>
      </c>
      <c r="D81" s="2" t="s">
        <v>545</v>
      </c>
      <c r="E81" s="2" t="s">
        <v>546</v>
      </c>
      <c r="F81" s="2" t="s">
        <v>42</v>
      </c>
      <c r="G81" s="2" t="s">
        <v>7</v>
      </c>
      <c r="H81" s="2" t="s">
        <v>43</v>
      </c>
      <c r="I81" s="3">
        <v>46262.41666666667</v>
      </c>
      <c r="J81" s="2" t="s">
        <v>343</v>
      </c>
      <c r="K81" s="2" t="s">
        <v>125</v>
      </c>
      <c r="L81" s="4">
        <v>174.02</v>
      </c>
      <c r="M81" s="5">
        <f>IF(AND(ISNUMBER(N81),ISNUMBER(L81),L81&gt;0),ROUND(N81/L81,2),"")</f>
        <v>3080</v>
      </c>
      <c r="N81" s="6">
        <v>535982</v>
      </c>
      <c r="O81" s="7">
        <v>95.711</v>
      </c>
      <c r="P81" s="8">
        <f>IF(AND(ISNUMBER(N81),ISNUMBER(O81),O81&gt;0),N81/(O81*10000),"")</f>
        <v>0.5600004179247944</v>
      </c>
      <c r="Q81" s="6">
        <v>0</v>
      </c>
      <c r="R81" s="6">
        <v>0</v>
      </c>
      <c r="S81" s="9" t="s">
        <v>45</v>
      </c>
      <c r="T81" s="9" t="s">
        <v>547</v>
      </c>
    </row>
    <row r="82" spans="1:20" x14ac:dyDescent="0.25">
      <c r="A82" s="2" t="s">
        <v>37</v>
      </c>
      <c r="B82" s="2" t="s">
        <v>103</v>
      </c>
      <c r="C82" s="2" t="s">
        <v>122</v>
      </c>
      <c r="D82" s="2" t="s">
        <v>548</v>
      </c>
      <c r="E82" s="2" t="s">
        <v>549</v>
      </c>
      <c r="F82" s="2" t="s">
        <v>42</v>
      </c>
      <c r="G82" s="2" t="s">
        <v>7</v>
      </c>
      <c r="H82" s="2" t="s">
        <v>43</v>
      </c>
      <c r="I82" s="3">
        <v>46262.41666666667</v>
      </c>
      <c r="J82" s="2" t="s">
        <v>343</v>
      </c>
      <c r="K82" s="2" t="s">
        <v>125</v>
      </c>
      <c r="L82" s="4">
        <v>129.73</v>
      </c>
      <c r="M82" s="5">
        <f>IF(AND(ISNUMBER(N82),ISNUMBER(L82),L82&gt;0),ROUND(N82/L82,2),"")</f>
        <v>3248.01</v>
      </c>
      <c r="N82" s="6">
        <v>421364</v>
      </c>
      <c r="O82" s="7">
        <v>75.2434</v>
      </c>
      <c r="P82" s="8">
        <f>IF(AND(ISNUMBER(N82),ISNUMBER(O82),O82&gt;0),N82/(O82*10000),"")</f>
        <v>0.5600012758594111</v>
      </c>
      <c r="Q82" s="6">
        <v>0</v>
      </c>
      <c r="R82" s="6">
        <v>0</v>
      </c>
      <c r="S82" s="9" t="s">
        <v>45</v>
      </c>
      <c r="T82" s="9" t="s">
        <v>550</v>
      </c>
    </row>
    <row r="83" spans="1:20" x14ac:dyDescent="0.25">
      <c r="A83" s="2" t="s">
        <v>37</v>
      </c>
      <c r="B83" s="2" t="s">
        <v>103</v>
      </c>
      <c r="C83" s="2" t="s">
        <v>303</v>
      </c>
      <c r="D83" s="2" t="s">
        <v>551</v>
      </c>
      <c r="E83" s="2" t="s">
        <v>305</v>
      </c>
      <c r="F83" s="2" t="s">
        <v>42</v>
      </c>
      <c r="G83" s="2" t="s">
        <v>7</v>
      </c>
      <c r="H83" s="2" t="s">
        <v>54</v>
      </c>
      <c r="I83" s="3">
        <v>46262.41666666667</v>
      </c>
      <c r="J83" s="2" t="s">
        <v>343</v>
      </c>
      <c r="K83" s="2" t="s">
        <v>306</v>
      </c>
      <c r="L83" s="11" t="s">
        <v>307</v>
      </c>
      <c r="M83" s="5" t="str">
        <f>IF(AND(ISNUMBER(N83),ISNUMBER(L83),L83&gt;0),ROUND(N83/L83,2),"")</f>
        <v/>
      </c>
      <c r="N83" s="6">
        <v>8578500</v>
      </c>
      <c r="O83" s="7">
        <v>1225.5</v>
      </c>
      <c r="P83" s="8">
        <f>IF(AND(ISNUMBER(N83),ISNUMBER(O83),O83&gt;0),N83/(O83*10000),"")</f>
        <v>0.7</v>
      </c>
      <c r="Q83" s="6">
        <v>0</v>
      </c>
      <c r="R83" s="6">
        <v>1</v>
      </c>
      <c r="S83" s="2" t="s">
        <v>552</v>
      </c>
      <c r="T83" s="9" t="s">
        <v>553</v>
      </c>
    </row>
  </sheetData>
  <autoFilter ref="A1:T83"/>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采集进度</vt:lpstr>
      <vt:lpstr>即将开始</vt:lpstr>
      <vt:lpstr>成交标的</vt:lpstr>
      <vt:lpstr>流拍标的</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fujian-auctions</dc:creator>
  <dc:title/>
  <dc:subject/>
  <dc:description/>
  <cp:keywords/>
  <cp:category/>
  <cp:lastModifiedBy>Unknown</cp:lastModifiedBy>
  <dcterms:created xsi:type="dcterms:W3CDTF">2026-08-31T02:36:44Z</dcterms:created>
  <dcterms:modified xsi:type="dcterms:W3CDTF">2026-08-31T02:36:44Z</dcterms:modified>
</cp:coreProperties>
</file>