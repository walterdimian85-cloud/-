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即将开始" sheetId="1" state="visible" r:id="rId1"/>
    <sheet xmlns:r="http://schemas.openxmlformats.org/officeDocument/2006/relationships" name="成交标的" sheetId="2" state="visible" r:id="rId2"/>
    <sheet xmlns:r="http://schemas.openxmlformats.org/officeDocument/2006/relationships" name="流拍标的" sheetId="3" state="visible" r:id="rId3"/>
  </sheets>
  <definedNames/>
</workbook>
</file>

<file path=xl/styles.xml><?xml version="1.0" encoding="utf-8"?>
<styleSheet xmlns="http://schemas.openxmlformats.org/spreadsheetml/2006/main">
  <numFmts count="3">
    <numFmt numFmtId="164" formatCode="mm\-dd"/>
    <numFmt numFmtId="165" formatCode="#,##0.####"/>
    <numFmt numFmtId="166" formatCode="mm-dd"/>
  </numFmts>
  <fonts count="24">
    <font>
      <name val="宋体"/>
      <color theme="1"/>
      <sz val="11"/>
    </font>
    <font>
      <name val="宋体"/>
      <b val="1"/>
      <color rgb="FF1F2937"/>
      <sz val="11"/>
    </font>
    <font>
      <name val="宋体"/>
      <sz val="10"/>
    </font>
    <font>
      <name val="Times New Roman"/>
      <sz val="10"/>
    </font>
    <font>
      <name val="宋体"/>
      <color theme="1"/>
      <sz val="11"/>
    </font>
    <font>
      <name val="宋体"/>
      <color rgb="FF0000FF"/>
      <sz val="11"/>
    </font>
    <font>
      <name val="宋体"/>
      <color rgb="FF800080"/>
      <sz val="11"/>
    </font>
    <font>
      <name val="宋体"/>
      <color rgb="FFFF0000"/>
      <sz val="11"/>
    </font>
    <font>
      <name val="宋体"/>
      <b val="1"/>
      <color theme="3"/>
      <sz val="18"/>
    </font>
    <font>
      <name val="宋体"/>
      <i val="1"/>
      <color rgb="FF7F7F7F"/>
      <sz val="11"/>
    </font>
    <font>
      <name val="宋体"/>
      <b val="1"/>
      <color theme="3"/>
      <sz val="15"/>
    </font>
    <font>
      <name val="宋体"/>
      <b val="1"/>
      <color theme="3"/>
      <sz val="13"/>
    </font>
    <font>
      <name val="宋体"/>
      <b val="1"/>
      <color theme="3"/>
      <sz val="11"/>
    </font>
    <font>
      <name val="宋体"/>
      <color rgb="FF3F3F76"/>
      <sz val="11"/>
    </font>
    <font>
      <name val="宋体"/>
      <b val="1"/>
      <color rgb="FF3F3F3F"/>
      <sz val="11"/>
    </font>
    <font>
      <name val="宋体"/>
      <b val="1"/>
      <color rgb="FFFA7D00"/>
      <sz val="11"/>
    </font>
    <font>
      <name val="宋体"/>
      <b val="1"/>
      <color rgb="FFFFFFFF"/>
      <sz val="11"/>
    </font>
    <font>
      <name val="宋体"/>
      <color rgb="FFFA7D00"/>
      <sz val="11"/>
    </font>
    <font>
      <name val="宋体"/>
      <b val="1"/>
      <color theme="1"/>
      <sz val="11"/>
    </font>
    <font>
      <name val="宋体"/>
      <color rgb="FF006100"/>
      <sz val="11"/>
    </font>
    <font>
      <name val="宋体"/>
      <color rgb="FF9C0006"/>
      <sz val="11"/>
    </font>
    <font>
      <name val="宋体"/>
      <color rgb="FF9C6500"/>
      <sz val="11"/>
    </font>
    <font>
      <name val="宋体"/>
      <color theme="0"/>
      <sz val="11"/>
    </font>
    <font>
      <name val="宋体"/>
      <color theme="1"/>
      <sz val="11"/>
    </font>
  </fonts>
  <fills count="34">
    <fill>
      <patternFill/>
    </fill>
    <fill>
      <patternFill patternType="gray125"/>
    </fill>
    <fill>
      <patternFill patternType="solid">
        <fgColor rgb="FFE2F0D9"/>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s>
  <borders count="11">
    <border/>
    <border>
      <bottom style="medium">
        <color rgb="FFA9D18E"/>
      </bottom>
    </border>
    <border>
      <bottom style="thin">
        <color rgb="FFD9EAD3"/>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s>
  <cellStyleXfs count="49">
    <xf numFmtId="0" fontId="23" fillId="0" borderId="0"/>
    <xf numFmtId="43" fontId="23" fillId="0" borderId="0" applyAlignment="1">
      <alignment vertical="center"/>
    </xf>
    <xf numFmtId="44" fontId="23" fillId="0" borderId="0" applyAlignment="1">
      <alignment vertical="center"/>
    </xf>
    <xf numFmtId="9" fontId="23" fillId="0" borderId="0" applyAlignment="1">
      <alignment vertical="center"/>
    </xf>
    <xf numFmtId="41" fontId="23" fillId="0" borderId="0" applyAlignment="1">
      <alignment vertical="center"/>
    </xf>
    <xf numFmtId="42" fontId="23" fillId="0" borderId="0" applyAlignment="1">
      <alignment vertical="center"/>
    </xf>
    <xf numFmtId="0" fontId="5" fillId="0" borderId="0" applyAlignment="1">
      <alignment vertical="center"/>
    </xf>
    <xf numFmtId="0" fontId="6" fillId="0" borderId="0" applyAlignment="1">
      <alignment vertical="center"/>
    </xf>
    <xf numFmtId="0" fontId="23" fillId="3" borderId="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4" applyAlignment="1">
      <alignment vertical="center"/>
    </xf>
    <xf numFmtId="0" fontId="11" fillId="0" borderId="4" applyAlignment="1">
      <alignment vertical="center"/>
    </xf>
    <xf numFmtId="0" fontId="12" fillId="0" borderId="5" applyAlignment="1">
      <alignment vertical="center"/>
    </xf>
    <xf numFmtId="0" fontId="12" fillId="0" borderId="0" applyAlignment="1">
      <alignment vertical="center"/>
    </xf>
    <xf numFmtId="0" fontId="13" fillId="4" borderId="6" applyAlignment="1">
      <alignment vertical="center"/>
    </xf>
    <xf numFmtId="0" fontId="14" fillId="5" borderId="7" applyAlignment="1">
      <alignment vertical="center"/>
    </xf>
    <xf numFmtId="0" fontId="15" fillId="5" borderId="6" applyAlignment="1">
      <alignment vertical="center"/>
    </xf>
    <xf numFmtId="0" fontId="16" fillId="6" borderId="8" applyAlignment="1">
      <alignment vertical="center"/>
    </xf>
    <xf numFmtId="0" fontId="17" fillId="0" borderId="9" applyAlignment="1">
      <alignment vertical="center"/>
    </xf>
    <xf numFmtId="0" fontId="18" fillId="0" borderId="1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63">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center"/>
    </xf>
    <xf numFmtId="164" fontId="3" fillId="0" borderId="2" applyAlignment="1" pivotButton="0" quotePrefix="0" xfId="0">
      <alignment vertical="center"/>
    </xf>
    <xf numFmtId="2" fontId="3" fillId="0" borderId="2" applyAlignment="1" pivotButton="0" quotePrefix="0" xfId="0">
      <alignment vertical="center"/>
    </xf>
    <xf numFmtId="4" fontId="2" fillId="0" borderId="2" applyAlignment="1" pivotButton="0" quotePrefix="0" xfId="0">
      <alignment vertical="center"/>
    </xf>
    <xf numFmtId="3" fontId="3" fillId="0" borderId="2" applyAlignment="1" pivotButton="0" quotePrefix="0" xfId="0">
      <alignment vertical="center"/>
    </xf>
    <xf numFmtId="165" fontId="3" fillId="0" borderId="2" applyAlignment="1" pivotButton="0" quotePrefix="0" xfId="0">
      <alignment vertical="center"/>
    </xf>
    <xf numFmtId="10" fontId="2" fillId="0" borderId="2" applyAlignment="1" pivotButton="0" quotePrefix="0" xfId="0">
      <alignment vertical="center"/>
    </xf>
    <xf numFmtId="0" fontId="3" fillId="0" borderId="2" applyAlignment="1" pivotButton="0" quotePrefix="0" xfId="0">
      <alignment vertical="center"/>
    </xf>
    <xf numFmtId="164" fontId="2" fillId="0" borderId="2" applyAlignment="1" pivotButton="0" quotePrefix="0" xfId="0">
      <alignment vertical="center"/>
    </xf>
    <xf numFmtId="2" fontId="2" fillId="0" borderId="2" applyAlignment="1" pivotButton="0" quotePrefix="0" xfId="0">
      <alignment vertical="center"/>
    </xf>
    <xf numFmtId="3" fontId="2" fillId="0" borderId="2" applyAlignment="1" pivotButton="0" quotePrefix="0" xfId="0">
      <alignment vertical="center"/>
    </xf>
    <xf numFmtId="0" fontId="2" fillId="0" borderId="2" applyAlignment="1" pivotButton="0" quotePrefix="0" xfId="0">
      <alignment vertical="center"/>
    </xf>
    <xf numFmtId="164" fontId="3" fillId="0" borderId="2" applyAlignment="1" pivotButton="0" quotePrefix="0" xfId="0">
      <alignment vertical="center"/>
    </xf>
    <xf numFmtId="2" fontId="2" fillId="0" borderId="2" applyAlignment="1" pivotButton="0" quotePrefix="0" xfId="0">
      <alignment vertical="center"/>
    </xf>
    <xf numFmtId="4" fontId="2" fillId="0" borderId="2" applyAlignment="1" pivotButton="0" quotePrefix="0" xfId="0">
      <alignment vertical="center"/>
    </xf>
    <xf numFmtId="3" fontId="3" fillId="0" borderId="2" applyAlignment="1" pivotButton="0" quotePrefix="0" xfId="0">
      <alignment vertical="center"/>
    </xf>
    <xf numFmtId="165" fontId="3" fillId="0" borderId="2" applyAlignment="1" pivotButton="0" quotePrefix="0" xfId="0">
      <alignment vertical="center"/>
    </xf>
    <xf numFmtId="10" fontId="2" fillId="0" borderId="2" applyAlignment="1" pivotButton="0" quotePrefix="0" xfId="0">
      <alignment vertical="center"/>
    </xf>
    <xf numFmtId="0" fontId="3" fillId="0" borderId="2" applyAlignment="1" pivotButton="0" quotePrefix="0" xfId="0">
      <alignment vertical="center"/>
    </xf>
    <xf numFmtId="2" fontId="3" fillId="0" borderId="2" applyAlignment="1" pivotButton="0" quotePrefix="0" xfId="0">
      <alignment vertical="center"/>
    </xf>
    <xf numFmtId="0" fontId="0" fillId="0" borderId="0" pivotButton="0" quotePrefix="0" xfId="0"/>
    <xf numFmtId="0" fontId="0" fillId="0" borderId="2" pivotButton="0" quotePrefix="0" xfId="0"/>
    <xf numFmtId="0" fontId="0" fillId="0" borderId="0" applyAlignment="1" pivotButton="0" quotePrefix="0" xfId="0">
      <alignment vertical="center"/>
    </xf>
    <xf numFmtId="0" fontId="0" fillId="0" borderId="2" applyAlignment="1" pivotButton="0" quotePrefix="0" xfId="0">
      <alignment vertical="center"/>
    </xf>
    <xf numFmtId="166" fontId="3" fillId="0" borderId="2" applyAlignment="1" pivotButton="0" quotePrefix="0" xfId="0">
      <alignment vertical="center"/>
    </xf>
    <xf numFmtId="166" fontId="0" fillId="0" borderId="0" applyAlignment="1" pivotButton="0" quotePrefix="0" xfId="0">
      <alignment vertical="center"/>
    </xf>
    <xf numFmtId="166" fontId="0" fillId="0" borderId="2" applyAlignment="1" pivotButton="0" quotePrefix="0" xfId="0">
      <alignment vertical="center"/>
    </xf>
    <xf numFmtId="2" fontId="2" fillId="0" borderId="2" applyAlignment="1" pivotButton="0" quotePrefix="0" xfId="0">
      <alignment vertical="center"/>
    </xf>
    <xf numFmtId="2" fontId="3" fillId="0" borderId="2" applyAlignment="1" pivotButton="0" quotePrefix="0" xfId="0">
      <alignment vertical="center"/>
    </xf>
    <xf numFmtId="2" fontId="0" fillId="0" borderId="0" applyAlignment="1" pivotButton="0" quotePrefix="0" xfId="0">
      <alignment vertical="center"/>
    </xf>
    <xf numFmtId="2" fontId="0" fillId="0" borderId="2" applyAlignment="1" pivotButton="0" quotePrefix="0" xfId="0">
      <alignment vertical="center"/>
    </xf>
    <xf numFmtId="4" fontId="2" fillId="0" borderId="2" applyAlignment="1" pivotButton="0" quotePrefix="0" xfId="0">
      <alignment vertical="center"/>
    </xf>
    <xf numFmtId="4" fontId="0" fillId="0" borderId="0" applyAlignment="1" pivotButton="0" quotePrefix="0" xfId="0">
      <alignment vertical="center"/>
    </xf>
    <xf numFmtId="4" fontId="0" fillId="0" borderId="2" applyAlignment="1" pivotButton="0" quotePrefix="0" xfId="0">
      <alignment vertical="center"/>
    </xf>
    <xf numFmtId="165" fontId="0" fillId="0" borderId="0" applyAlignment="1" pivotButton="0" quotePrefix="0" xfId="0">
      <alignment vertical="center"/>
    </xf>
    <xf numFmtId="165" fontId="0" fillId="0" borderId="2" applyAlignment="1" pivotButton="0" quotePrefix="0" xfId="0">
      <alignment vertical="center"/>
    </xf>
    <xf numFmtId="10" fontId="2" fillId="0" borderId="2" applyAlignment="1" pivotButton="0" quotePrefix="0" xfId="0">
      <alignment vertical="center"/>
    </xf>
    <xf numFmtId="10" fontId="0" fillId="0" borderId="0" applyAlignment="1" pivotButton="0" quotePrefix="0" xfId="0">
      <alignment vertical="center"/>
    </xf>
    <xf numFmtId="10" fontId="0" fillId="0" borderId="2" applyAlignment="1" pivotButton="0" quotePrefix="0" xfId="0">
      <alignment vertical="center"/>
    </xf>
    <xf numFmtId="164" fontId="2" fillId="0" borderId="2" applyAlignment="1" pivotButton="0" quotePrefix="0" xfId="0">
      <alignment vertical="center"/>
    </xf>
    <xf numFmtId="3" fontId="2" fillId="0" borderId="2" applyAlignment="1" pivotButton="0" quotePrefix="0" xfId="0">
      <alignment vertical="center"/>
    </xf>
    <xf numFmtId="166" fontId="2" fillId="0" borderId="2" applyAlignment="1" pivotButton="0" quotePrefix="0" xfId="0">
      <alignment vertical="center"/>
    </xf>
    <xf numFmtId="3" fontId="3" fillId="0" borderId="2" applyAlignment="1" pivotButton="0" quotePrefix="0" xfId="0">
      <alignment vertical="center"/>
    </xf>
    <xf numFmtId="3" fontId="0" fillId="0" borderId="0" applyAlignment="1" pivotButton="0" quotePrefix="0" xfId="0">
      <alignment vertical="center"/>
    </xf>
    <xf numFmtId="3" fontId="0" fillId="0" borderId="2" applyAlignment="1" pivotButton="0" quotePrefix="0" xfId="0">
      <alignment vertical="center"/>
    </xf>
    <xf numFmtId="3" fontId="2" fillId="0" borderId="2" applyAlignment="1" pivotButton="0" quotePrefix="0" xfId="0">
      <alignment vertical="center"/>
    </xf>
    <xf numFmtId="166" fontId="3" fillId="0" borderId="2" applyAlignment="1" pivotButton="0" quotePrefix="0" xfId="0">
      <alignment vertical="center"/>
    </xf>
    <xf numFmtId="165" fontId="3" fillId="0" borderId="2" applyAlignment="1" pivotButton="0" quotePrefix="0" xfId="0">
      <alignment vertical="center"/>
    </xf>
    <xf numFmtId="166" fontId="0" fillId="0" borderId="0" applyAlignment="1" pivotButton="0" quotePrefix="0" xfId="0">
      <alignment vertical="center"/>
    </xf>
    <xf numFmtId="2" fontId="0" fillId="0" borderId="0" applyAlignment="1" pivotButton="0" quotePrefix="0" xfId="0">
      <alignment vertical="center"/>
    </xf>
    <xf numFmtId="4" fontId="0" fillId="0" borderId="0" applyAlignment="1" pivotButton="0" quotePrefix="0" xfId="0">
      <alignment vertical="center"/>
    </xf>
    <xf numFmtId="165" fontId="0" fillId="0" borderId="0" applyAlignment="1" pivotButton="0" quotePrefix="0" xfId="0">
      <alignment vertical="center"/>
    </xf>
    <xf numFmtId="10" fontId="0" fillId="0" borderId="0" applyAlignment="1" pivotButton="0" quotePrefix="0" xfId="0">
      <alignment vertical="center"/>
    </xf>
    <xf numFmtId="166" fontId="0" fillId="0" borderId="2" applyAlignment="1" pivotButton="0" quotePrefix="0" xfId="0">
      <alignment vertical="center"/>
    </xf>
    <xf numFmtId="2" fontId="0" fillId="0" borderId="2" applyAlignment="1" pivotButton="0" quotePrefix="0" xfId="0">
      <alignment vertical="center"/>
    </xf>
    <xf numFmtId="4" fontId="0" fillId="0" borderId="2" applyAlignment="1" pivotButton="0" quotePrefix="0" xfId="0">
      <alignment vertical="center"/>
    </xf>
    <xf numFmtId="165" fontId="0" fillId="0" borderId="2" applyAlignment="1" pivotButton="0" quotePrefix="0" xfId="0">
      <alignment vertical="center"/>
    </xf>
    <xf numFmtId="10" fontId="0" fillId="0" borderId="2" applyAlignment="1" pivotButton="0" quotePrefix="0" xfId="0">
      <alignment vertical="center"/>
    </xf>
    <xf numFmtId="166" fontId="2" fillId="0" borderId="2" applyAlignment="1" pivotButton="0" quotePrefix="0" xfId="0">
      <alignment vertical="center"/>
    </xf>
    <xf numFmtId="3" fontId="0" fillId="0" borderId="0" applyAlignment="1" pivotButton="0" quotePrefix="0" xfId="0">
      <alignment vertical="center"/>
    </xf>
    <xf numFmtId="3" fontId="0" fillId="0" borderId="2" applyAlignment="1" pivotButton="0" quotePrefix="0" xfId="0">
      <alignment vertical="center"/>
    </xf>
  </cellXfs>
  <cellStyles count="49">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R116"/>
  <sheetViews>
    <sheetView showGridLines="0" workbookViewId="0">
      <selection activeCell="A1" sqref="A1"/>
    </sheetView>
  </sheetViews>
  <sheetFormatPr baseColWidth="8" defaultColWidth="9" defaultRowHeight="13.5"/>
  <cols>
    <col width="10" customWidth="1" style="22" min="1" max="2"/>
    <col width="11" customWidth="1" style="22" min="3" max="3"/>
    <col width="42" customWidth="1" style="22" min="4" max="4"/>
    <col width="24" customWidth="1" style="22" min="5" max="5"/>
    <col width="10" customWidth="1" style="22" min="6" max="6"/>
    <col width="11" customWidth="1" style="22" min="7" max="7"/>
    <col width="10" customWidth="1" style="22" min="8" max="8"/>
    <col width="11" customWidth="1" style="22" min="9" max="9"/>
    <col width="14" customWidth="1" style="22" min="10" max="10"/>
    <col width="23" customWidth="1" style="22" min="11" max="11"/>
    <col width="12" customWidth="1" style="22" min="12" max="12"/>
    <col width="16" customWidth="1" style="22" min="13" max="13"/>
    <col width="14" customWidth="1" style="22" min="14" max="14"/>
    <col width="15" customWidth="1" style="22" min="15" max="15"/>
    <col width="12" customWidth="1" style="22" min="16" max="16"/>
    <col width="32" customWidth="1" style="22" min="17" max="17"/>
    <col width="48" customWidth="1" style="22" min="18" max="18"/>
  </cols>
  <sheetData>
    <row r="1" ht="28" customHeight="1" s="22">
      <c r="A1" s="1" t="inlineStr">
        <is>
          <t>所在省份</t>
        </is>
      </c>
      <c r="B1" s="1" t="inlineStr">
        <is>
          <t>城市</t>
        </is>
      </c>
      <c r="C1" s="1" t="inlineStr">
        <is>
          <t>区域</t>
        </is>
      </c>
      <c r="D1" s="1" t="inlineStr">
        <is>
          <t>标的名称</t>
        </is>
      </c>
      <c r="E1" s="1" t="inlineStr">
        <is>
          <t>小区名称（仅供参考）</t>
        </is>
      </c>
      <c r="F1" s="1" t="inlineStr">
        <is>
          <t>标的类型</t>
        </is>
      </c>
      <c r="G1" s="1" t="inlineStr">
        <is>
          <t>平台</t>
        </is>
      </c>
      <c r="H1" s="1" t="inlineStr">
        <is>
          <t>发拍次数</t>
        </is>
      </c>
      <c r="I1" s="1" t="inlineStr">
        <is>
          <t>拍卖时间</t>
        </is>
      </c>
      <c r="J1" s="1" t="inlineStr">
        <is>
          <t>是否成交</t>
        </is>
      </c>
      <c r="K1" s="1" t="inlineStr">
        <is>
          <t>处置法院</t>
        </is>
      </c>
      <c r="L1" s="1" t="inlineStr">
        <is>
          <t>面积/㎡</t>
        </is>
      </c>
      <c r="M1" s="1" t="inlineStr">
        <is>
          <t>起拍单价-元/㎡</t>
        </is>
      </c>
      <c r="N1" s="1" t="inlineStr">
        <is>
          <t>起拍价格</t>
        </is>
      </c>
      <c r="O1" s="1" t="inlineStr">
        <is>
          <t>评估价</t>
        </is>
      </c>
      <c r="P1" s="1" t="inlineStr">
        <is>
          <t>折扣率(%)</t>
        </is>
      </c>
      <c r="Q1" s="1" t="inlineStr">
        <is>
          <t>备注</t>
        </is>
      </c>
      <c r="R1" s="1" t="inlineStr">
        <is>
          <t>网站链接</t>
        </is>
      </c>
    </row>
    <row r="2">
      <c r="A2" s="13" t="inlineStr">
        <is>
          <t>福建省</t>
        </is>
      </c>
      <c r="B2" s="13" t="inlineStr">
        <is>
          <t>福州市</t>
        </is>
      </c>
      <c r="C2" s="13" t="inlineStr">
        <is>
          <t>仓山区</t>
        </is>
      </c>
      <c r="D2" s="13" t="inlineStr">
        <is>
          <t>三叉街街道则徐大道153号先锋苑1#楼8层09室</t>
        </is>
      </c>
      <c r="E2" s="13" t="inlineStr">
        <is>
          <t>先锋苑</t>
        </is>
      </c>
      <c r="F2" s="13" t="inlineStr">
        <is>
          <t>商业</t>
        </is>
      </c>
      <c r="G2" s="13" t="inlineStr">
        <is>
          <t>阿里资产</t>
        </is>
      </c>
      <c r="H2" s="13" t="inlineStr">
        <is>
          <t>一拍</t>
        </is>
      </c>
      <c r="I2" s="48" t="n">
        <v>46294.41666666666</v>
      </c>
      <c r="J2" s="13" t="inlineStr">
        <is>
          <t>即将开始</t>
        </is>
      </c>
      <c r="K2" s="13" t="inlineStr">
        <is>
          <t>福州市仓山区人民法院</t>
        </is>
      </c>
      <c r="L2" s="29" t="n">
        <v>214</v>
      </c>
      <c r="M2" s="33">
        <f>IF(AND(ISNUMBER(N2),ISNUMBER(L2),L2&gt;0),ROUND(N2/L2,2),"")</f>
        <v/>
      </c>
      <c r="N2" s="49" t="n">
        <v>2097200</v>
      </c>
      <c r="O2" s="49" t="n">
        <v>2996000</v>
      </c>
      <c r="P2" s="38">
        <f>IF(AND(ISNUMBER(N2),ISNUMBER(O2),O2&gt;0),N2/O2,"")</f>
        <v/>
      </c>
      <c r="Q2" s="13" t="inlineStr">
        <is>
          <t>未找到评估报告</t>
        </is>
      </c>
      <c r="R2" s="20" t="inlineStr">
        <is>
          <t>https://sf-item.taobao.com/sf_item/1076842995306.htm</t>
        </is>
      </c>
    </row>
    <row r="3">
      <c r="A3" s="13" t="inlineStr">
        <is>
          <t>福建省</t>
        </is>
      </c>
      <c r="B3" s="13" t="inlineStr">
        <is>
          <t>福州市</t>
        </is>
      </c>
      <c r="C3" s="13" t="inlineStr">
        <is>
          <t>仓山区</t>
        </is>
      </c>
      <c r="D3" s="13" t="inlineStr">
        <is>
          <t>下渡街道港南路79号2#楼104单元、2#楼1层06附属间</t>
        </is>
      </c>
      <c r="E3" s="13" t="inlineStr">
        <is>
          <t>商住小区</t>
        </is>
      </c>
      <c r="F3" s="13" t="inlineStr">
        <is>
          <t>住宅</t>
        </is>
      </c>
      <c r="G3" s="13" t="inlineStr">
        <is>
          <t>阿里资产</t>
        </is>
      </c>
      <c r="H3" s="13" t="inlineStr">
        <is>
          <t>变卖</t>
        </is>
      </c>
      <c r="I3" s="48" t="n">
        <v>46286.41666666666</v>
      </c>
      <c r="J3" s="13" t="inlineStr">
        <is>
          <t>即将开始</t>
        </is>
      </c>
      <c r="K3" s="13" t="inlineStr">
        <is>
          <t>福州市仓山区人民法院</t>
        </is>
      </c>
      <c r="L3" s="29" t="n">
        <v>87.56</v>
      </c>
      <c r="M3" s="33">
        <f>IF(AND(ISNUMBER(N3),ISNUMBER(L3),L3&gt;0),ROUND(N3/L3,2),"")</f>
        <v/>
      </c>
      <c r="N3" s="49" t="n">
        <v>709436</v>
      </c>
      <c r="O3" s="49" t="n">
        <v>44</v>
      </c>
      <c r="P3" s="38">
        <f>IF(AND(ISNUMBER(N3),ISNUMBER(O3),O3&gt;0),N3/O3,"")</f>
        <v/>
      </c>
      <c r="Q3" s="13" t="inlineStr">
        <is>
          <t>未找到评估报告</t>
        </is>
      </c>
      <c r="R3" s="20" t="inlineStr">
        <is>
          <t>https://sf-item.taobao.com/sf_item/1076857615108.htm</t>
        </is>
      </c>
    </row>
    <row r="4">
      <c r="A4" s="13" t="inlineStr">
        <is>
          <t>福建省</t>
        </is>
      </c>
      <c r="B4" s="13" t="inlineStr">
        <is>
          <t>福州市</t>
        </is>
      </c>
      <c r="C4" s="13" t="inlineStr">
        <is>
          <t>仓山区</t>
        </is>
      </c>
      <c r="D4" s="13" t="inlineStr">
        <is>
          <t>三叉街福峡路40号建发花园1#楼803单元</t>
        </is>
      </c>
      <c r="E4" s="13" t="inlineStr">
        <is>
          <t>建发花园</t>
        </is>
      </c>
      <c r="F4" s="13" t="inlineStr">
        <is>
          <t>住宅</t>
        </is>
      </c>
      <c r="G4" s="13" t="inlineStr">
        <is>
          <t>阿里资产</t>
        </is>
      </c>
      <c r="H4" s="13" t="inlineStr">
        <is>
          <t>二拍</t>
        </is>
      </c>
      <c r="I4" s="48" t="n">
        <v>46280.41666666666</v>
      </c>
      <c r="J4" s="13" t="inlineStr">
        <is>
          <t>即将开始</t>
        </is>
      </c>
      <c r="K4" s="13" t="inlineStr">
        <is>
          <t>福州市晋安区人民法院</t>
        </is>
      </c>
      <c r="L4" s="30" t="n">
        <v>87.65000000000001</v>
      </c>
      <c r="M4" s="33">
        <f>IF(AND(ISNUMBER(N4),ISNUMBER(L4),L4&gt;0),ROUND(N4/L4,2),"")</f>
        <v/>
      </c>
      <c r="N4" s="49" t="n">
        <v>539924</v>
      </c>
      <c r="O4" s="49" t="n">
        <v>964150</v>
      </c>
      <c r="P4" s="38">
        <f>IF(AND(ISNUMBER(N4),ISNUMBER(O4),O4&gt;0),N4/O4,"")</f>
        <v/>
      </c>
      <c r="Q4" s="20" t="inlineStr">
        <is>
          <t>40</t>
        </is>
      </c>
      <c r="R4" s="20" t="inlineStr">
        <is>
          <t>https://sf-item.taobao.com/sf_item/1076651211220.htm</t>
        </is>
      </c>
    </row>
    <row r="5">
      <c r="A5" s="13" t="inlineStr">
        <is>
          <t>福建省</t>
        </is>
      </c>
      <c r="B5" s="13" t="inlineStr">
        <is>
          <t>福州市</t>
        </is>
      </c>
      <c r="C5" s="13" t="inlineStr">
        <is>
          <t>仓山区</t>
        </is>
      </c>
      <c r="D5" s="13" t="inlineStr">
        <is>
          <t>下渡街道展进巷13号先锋金山花园2#楼1层58附属间、3#乙楼2层01附属间、2层02附属间、101单元、2层21附属间</t>
        </is>
      </c>
      <c r="E5" s="13" t="inlineStr">
        <is>
          <t>先锋金山花园</t>
        </is>
      </c>
      <c r="F5" s="13" t="inlineStr">
        <is>
          <t>住宅</t>
        </is>
      </c>
      <c r="G5" s="13" t="inlineStr">
        <is>
          <t>阿里资产</t>
        </is>
      </c>
      <c r="H5" s="13" t="inlineStr">
        <is>
          <t>变卖</t>
        </is>
      </c>
      <c r="I5" s="48" t="n">
        <v>46276.41666666666</v>
      </c>
      <c r="J5" s="13" t="inlineStr">
        <is>
          <t>即将开始</t>
        </is>
      </c>
      <c r="K5" s="13" t="inlineStr">
        <is>
          <t>福州市台江区人民法院</t>
        </is>
      </c>
      <c r="L5" s="30" t="n">
        <v>153.43</v>
      </c>
      <c r="M5" s="33">
        <f>IF(AND(ISNUMBER(N5),ISNUMBER(L5),L5&gt;0),ROUND(N5/L5,2),"")</f>
        <v/>
      </c>
      <c r="N5" s="49" t="n">
        <v>1698379.2</v>
      </c>
      <c r="O5" s="49" t="n">
        <v>3032820</v>
      </c>
      <c r="P5" s="38">
        <f>IF(AND(ISNUMBER(N5),ISNUMBER(O5),O5&gt;0),N5/O5,"")</f>
        <v/>
      </c>
      <c r="Q5" s="20" t="inlineStr">
        <is>
          <t>40</t>
        </is>
      </c>
      <c r="R5" s="20" t="inlineStr">
        <is>
          <t>https://sf-item.taobao.com/sf_item/1079468200596.htm</t>
        </is>
      </c>
    </row>
    <row r="6">
      <c r="A6" s="13" t="inlineStr">
        <is>
          <t>福建省</t>
        </is>
      </c>
      <c r="B6" s="13" t="inlineStr">
        <is>
          <t>福州市</t>
        </is>
      </c>
      <c r="C6" s="13" t="inlineStr">
        <is>
          <t>福清市</t>
        </is>
      </c>
      <c r="D6" s="13" t="inlineStr">
        <is>
          <t>宏路街道南宅村美嘉城1号楼208单元</t>
        </is>
      </c>
      <c r="E6" s="13" t="inlineStr">
        <is>
          <t>美嘉城</t>
        </is>
      </c>
      <c r="F6" s="13" t="inlineStr">
        <is>
          <t>住宅</t>
        </is>
      </c>
      <c r="G6" s="13" t="inlineStr">
        <is>
          <t>阿里资产</t>
        </is>
      </c>
      <c r="H6" s="13" t="inlineStr">
        <is>
          <t>一拍</t>
        </is>
      </c>
      <c r="I6" s="48" t="n">
        <v>46294.41666666666</v>
      </c>
      <c r="J6" s="13" t="inlineStr">
        <is>
          <t>即将开始</t>
        </is>
      </c>
      <c r="K6" s="13" t="inlineStr">
        <is>
          <t>福清市人民法院</t>
        </is>
      </c>
      <c r="L6" s="30" t="n">
        <v>171.38</v>
      </c>
      <c r="M6" s="33">
        <f>IF(AND(ISNUMBER(N6),ISNUMBER(L6),L6&gt;0),ROUND(N6/L6,2),"")</f>
        <v/>
      </c>
      <c r="N6" s="49" t="n">
        <v>695500</v>
      </c>
      <c r="O6" s="49" t="n">
        <v>993510.33</v>
      </c>
      <c r="P6" s="38">
        <f>IF(AND(ISNUMBER(N6),ISNUMBER(O6),O6&gt;0),N6/O6,"")</f>
        <v/>
      </c>
      <c r="Q6" s="13" t="inlineStr">
        <is>
          <t>户型：4室2厅</t>
        </is>
      </c>
      <c r="R6" s="20" t="inlineStr">
        <is>
          <t>https://sf-item.taobao.com/sf_item/1077385626513.htm</t>
        </is>
      </c>
    </row>
    <row r="7">
      <c r="A7" s="13" t="inlineStr">
        <is>
          <t>福建省</t>
        </is>
      </c>
      <c r="B7" s="13" t="inlineStr">
        <is>
          <t>福州市</t>
        </is>
      </c>
      <c r="C7" s="13" t="inlineStr">
        <is>
          <t>福清市</t>
        </is>
      </c>
      <c r="D7" s="13" t="inlineStr">
        <is>
          <t>阳下街道油楼村华泰中天熙岸1号楼306单元</t>
        </is>
      </c>
      <c r="E7" s="13" t="inlineStr">
        <is>
          <t>中天熙岸</t>
        </is>
      </c>
      <c r="F7" s="13" t="inlineStr">
        <is>
          <t>住宅</t>
        </is>
      </c>
      <c r="G7" s="13" t="inlineStr">
        <is>
          <t>阿里资产</t>
        </is>
      </c>
      <c r="H7" s="13" t="inlineStr">
        <is>
          <t>一拍</t>
        </is>
      </c>
      <c r="I7" s="48" t="n">
        <v>46294.41666666666</v>
      </c>
      <c r="J7" s="13" t="inlineStr">
        <is>
          <t>即将开始</t>
        </is>
      </c>
      <c r="K7" s="13" t="inlineStr">
        <is>
          <t>福清市人民法院</t>
        </is>
      </c>
      <c r="L7" s="30" t="n">
        <v>86.64</v>
      </c>
      <c r="M7" s="33">
        <f>IF(AND(ISNUMBER(N7),ISNUMBER(L7),L7&gt;0),ROUND(N7/L7,2),"")</f>
        <v/>
      </c>
      <c r="N7" s="49" t="n">
        <v>617500</v>
      </c>
      <c r="O7" s="49" t="n">
        <v>882138.01</v>
      </c>
      <c r="P7" s="38">
        <f>IF(AND(ISNUMBER(N7),ISNUMBER(O7),O7&gt;0),N7/O7,"")</f>
        <v/>
      </c>
      <c r="Q7" s="13" t="inlineStr">
        <is>
          <t>户型：2室2厅</t>
        </is>
      </c>
      <c r="R7" s="20" t="inlineStr">
        <is>
          <t>https://sf-item.taobao.com/sf_item/1077385630242.htm</t>
        </is>
      </c>
    </row>
    <row r="8">
      <c r="A8" s="13" t="inlineStr">
        <is>
          <t>福建省</t>
        </is>
      </c>
      <c r="B8" s="13" t="inlineStr">
        <is>
          <t>福州市</t>
        </is>
      </c>
      <c r="C8" s="13" t="inlineStr">
        <is>
          <t>福清市</t>
        </is>
      </c>
      <c r="D8" s="13" t="inlineStr">
        <is>
          <t>石竹街道龙塘村、高仑村福政大道拆迁安置区（现福政小区）9号楼803单元</t>
        </is>
      </c>
      <c r="E8" s="13" t="inlineStr">
        <is>
          <t>现福政小区</t>
        </is>
      </c>
      <c r="F8" s="13" t="inlineStr">
        <is>
          <t>住宅</t>
        </is>
      </c>
      <c r="G8" s="13" t="inlineStr">
        <is>
          <t>阿里资产</t>
        </is>
      </c>
      <c r="H8" s="13" t="inlineStr">
        <is>
          <t>一拍</t>
        </is>
      </c>
      <c r="I8" s="48" t="n">
        <v>46293.41666666666</v>
      </c>
      <c r="J8" s="13" t="inlineStr">
        <is>
          <t>即将开始</t>
        </is>
      </c>
      <c r="K8" s="13" t="inlineStr">
        <is>
          <t>福清市人民法院</t>
        </is>
      </c>
      <c r="L8" s="30" t="n">
        <v>120.7</v>
      </c>
      <c r="M8" s="33">
        <f>IF(AND(ISNUMBER(N8),ISNUMBER(L8),L8&gt;0),ROUND(N8/L8,2),"")</f>
        <v/>
      </c>
      <c r="N8" s="49" t="n">
        <v>504237</v>
      </c>
      <c r="O8" s="49" t="n">
        <v>720338</v>
      </c>
      <c r="P8" s="38">
        <f>IF(AND(ISNUMBER(N8),ISNUMBER(O8),O8&gt;0),N8/O8,"")</f>
        <v/>
      </c>
      <c r="Q8" s="13" t="inlineStr">
        <is>
          <t>户型：3室2厅</t>
        </is>
      </c>
      <c r="R8" s="20" t="inlineStr">
        <is>
          <t>https://sf-item.taobao.com/sf_item/1076409387391.htm</t>
        </is>
      </c>
    </row>
    <row r="9">
      <c r="A9" s="13" t="inlineStr">
        <is>
          <t>福建省</t>
        </is>
      </c>
      <c r="B9" s="13" t="inlineStr">
        <is>
          <t>福州市</t>
        </is>
      </c>
      <c r="C9" s="13" t="inlineStr">
        <is>
          <t>福清市</t>
        </is>
      </c>
      <c r="D9" s="13" t="inlineStr">
        <is>
          <t>镜洋镇浮山村南山埔9地号房产</t>
        </is>
      </c>
      <c r="E9" s="13" t="inlineStr">
        <is>
          <t>浮山村南山埔9地号</t>
        </is>
      </c>
      <c r="F9" s="13" t="inlineStr">
        <is>
          <t>住宅</t>
        </is>
      </c>
      <c r="G9" s="13" t="inlineStr">
        <is>
          <t>阿里资产</t>
        </is>
      </c>
      <c r="H9" s="13" t="inlineStr">
        <is>
          <t>一拍</t>
        </is>
      </c>
      <c r="I9" s="48" t="n">
        <v>46293.41666666666</v>
      </c>
      <c r="J9" s="13" t="inlineStr">
        <is>
          <t>即将开始</t>
        </is>
      </c>
      <c r="K9" s="13" t="inlineStr">
        <is>
          <t>福清市人民法院</t>
        </is>
      </c>
      <c r="L9" s="30" t="n">
        <v>315.76</v>
      </c>
      <c r="M9" s="33">
        <f>IF(AND(ISNUMBER(N9),ISNUMBER(L9),L9&gt;0),ROUND(N9/L9,2),"")</f>
        <v/>
      </c>
      <c r="N9" s="49" t="n">
        <v>460000</v>
      </c>
      <c r="O9" s="49" t="n">
        <v>643722</v>
      </c>
      <c r="P9" s="38">
        <f>IF(AND(ISNUMBER(N9),ISNUMBER(O9),O9&gt;0),N9/O9,"")</f>
        <v/>
      </c>
      <c r="Q9" s="20" t="inlineStr">
        <is>
          <t>40</t>
        </is>
      </c>
      <c r="R9" s="20" t="inlineStr">
        <is>
          <t>https://sf-item.taobao.com/sf_item/1077519866144.htm</t>
        </is>
      </c>
    </row>
    <row r="10">
      <c r="A10" s="13" t="inlineStr">
        <is>
          <t>福建省</t>
        </is>
      </c>
      <c r="B10" s="13" t="inlineStr">
        <is>
          <t>福州市</t>
        </is>
      </c>
      <c r="C10" s="13" t="inlineStr">
        <is>
          <t>福清市</t>
        </is>
      </c>
      <c r="D10" s="13" t="inlineStr">
        <is>
          <t>石竹街道龙塘村、高仑村福政大道拆迁安置区（现福政小区）11号楼1308单元</t>
        </is>
      </c>
      <c r="E10" s="13" t="inlineStr">
        <is>
          <t>现福政小区</t>
        </is>
      </c>
      <c r="F10" s="13" t="inlineStr">
        <is>
          <t>住宅</t>
        </is>
      </c>
      <c r="G10" s="13" t="inlineStr">
        <is>
          <t>阿里资产</t>
        </is>
      </c>
      <c r="H10" s="13" t="inlineStr">
        <is>
          <t>一拍</t>
        </is>
      </c>
      <c r="I10" s="48" t="n">
        <v>46293.41666666666</v>
      </c>
      <c r="J10" s="13" t="inlineStr">
        <is>
          <t>即将开始</t>
        </is>
      </c>
      <c r="K10" s="13" t="inlineStr">
        <is>
          <t>福清市人民法院</t>
        </is>
      </c>
      <c r="L10" s="30" t="n">
        <v>108.1</v>
      </c>
      <c r="M10" s="33">
        <f>IF(AND(ISNUMBER(N10),ISNUMBER(L10),L10&gt;0),ROUND(N10/L10,2),"")</f>
        <v/>
      </c>
      <c r="N10" s="49" t="n">
        <v>428481</v>
      </c>
      <c r="O10" s="49" t="n">
        <v>612115</v>
      </c>
      <c r="P10" s="38">
        <f>IF(AND(ISNUMBER(N10),ISNUMBER(O10),O10&gt;0),N10/O10,"")</f>
        <v/>
      </c>
      <c r="Q10" s="13" t="inlineStr">
        <is>
          <t>户型：3室2厅</t>
        </is>
      </c>
      <c r="R10" s="20" t="inlineStr">
        <is>
          <t>https://sf-item.taobao.com/sf_item/1078313249613.htm</t>
        </is>
      </c>
    </row>
    <row r="11">
      <c r="A11" s="13" t="inlineStr">
        <is>
          <t>福建省</t>
        </is>
      </c>
      <c r="B11" s="13" t="inlineStr">
        <is>
          <t>福州市</t>
        </is>
      </c>
      <c r="C11" s="13" t="inlineStr">
        <is>
          <t>福清市</t>
        </is>
      </c>
      <c r="D11" s="13" t="inlineStr">
        <is>
          <t>宏路街道上郑村金辉华府17号楼3001复式单元及金辉华府（一期）地下室地下2层659车位</t>
        </is>
      </c>
      <c r="E11" s="13" t="inlineStr">
        <is>
          <t>金辉华府</t>
        </is>
      </c>
      <c r="F11" s="13" t="inlineStr">
        <is>
          <t>车位</t>
        </is>
      </c>
      <c r="G11" s="13" t="inlineStr">
        <is>
          <t>阿里资产</t>
        </is>
      </c>
      <c r="H11" s="13" t="inlineStr">
        <is>
          <t>一拍</t>
        </is>
      </c>
      <c r="I11" s="48" t="n">
        <v>46293.41666666666</v>
      </c>
      <c r="J11" s="13" t="inlineStr">
        <is>
          <t>即将开始</t>
        </is>
      </c>
      <c r="K11" s="13" t="inlineStr">
        <is>
          <t>福清市人民法院</t>
        </is>
      </c>
      <c r="L11" s="30" t="n">
        <v>246.81</v>
      </c>
      <c r="M11" s="33">
        <f>IF(AND(ISNUMBER(N11),ISNUMBER(L11),L11&gt;0),ROUND(N11/L11,2),"")</f>
        <v/>
      </c>
      <c r="N11" s="49" t="n">
        <v>1884400</v>
      </c>
      <c r="O11" s="49" t="n">
        <v>2692000</v>
      </c>
      <c r="P11" s="38">
        <f>IF(AND(ISNUMBER(N11),ISNUMBER(O11),O11&gt;0),N11/O11,"")</f>
        <v/>
      </c>
      <c r="Q11" s="13" t="inlineStr">
        <is>
          <t>主住宅：246.81㎡；车位：28.26㎡。</t>
        </is>
      </c>
      <c r="R11" s="20" t="inlineStr">
        <is>
          <t>https://sf-item.taobao.com/sf_item/1078313605876.htm</t>
        </is>
      </c>
    </row>
    <row r="12">
      <c r="A12" s="13" t="inlineStr">
        <is>
          <t>福建省</t>
        </is>
      </c>
      <c r="B12" s="13" t="inlineStr">
        <is>
          <t>福州市</t>
        </is>
      </c>
      <c r="C12" s="13" t="inlineStr">
        <is>
          <t>福清市</t>
        </is>
      </c>
      <c r="D12" s="13" t="inlineStr">
        <is>
          <t>石竹街道龙塘村、高仑村福政大道拆迁安置区（现福政小区）11号楼1208单元</t>
        </is>
      </c>
      <c r="E12" s="13" t="inlineStr">
        <is>
          <t>现福政小区</t>
        </is>
      </c>
      <c r="F12" s="13" t="inlineStr">
        <is>
          <t>住宅</t>
        </is>
      </c>
      <c r="G12" s="13" t="inlineStr">
        <is>
          <t>阿里资产</t>
        </is>
      </c>
      <c r="H12" s="13" t="inlineStr">
        <is>
          <t>一拍</t>
        </is>
      </c>
      <c r="I12" s="48" t="n">
        <v>46293.41666666666</v>
      </c>
      <c r="J12" s="13" t="inlineStr">
        <is>
          <t>即将开始</t>
        </is>
      </c>
      <c r="K12" s="13" t="inlineStr">
        <is>
          <t>福清市人民法院</t>
        </is>
      </c>
      <c r="L12" s="30" t="n">
        <v>108.1</v>
      </c>
      <c r="M12" s="33">
        <f>IF(AND(ISNUMBER(N12),ISNUMBER(L12),L12&gt;0),ROUND(N12/L12,2),"")</f>
        <v/>
      </c>
      <c r="N12" s="49" t="n">
        <v>430904</v>
      </c>
      <c r="O12" s="49" t="n">
        <v>615576</v>
      </c>
      <c r="P12" s="38">
        <f>IF(AND(ISNUMBER(N12),ISNUMBER(O12),O12&gt;0),N12/O12,"")</f>
        <v/>
      </c>
      <c r="Q12" s="13" t="inlineStr">
        <is>
          <t>户型：3室2厅</t>
        </is>
      </c>
      <c r="R12" s="20" t="inlineStr">
        <is>
          <t>https://sf-item.taobao.com/sf_item/1079314940672.htm</t>
        </is>
      </c>
    </row>
    <row r="13">
      <c r="A13" s="13" t="inlineStr">
        <is>
          <t>福建省</t>
        </is>
      </c>
      <c r="B13" s="13" t="inlineStr">
        <is>
          <t>福州市</t>
        </is>
      </c>
      <c r="C13" s="13" t="inlineStr">
        <is>
          <t>鼓楼区</t>
        </is>
      </c>
      <c r="D13" s="13" t="inlineStr">
        <is>
          <t>五凤街道龙腰路60号筑家·左海家园B2#楼903单元</t>
        </is>
      </c>
      <c r="E13" s="13" t="inlineStr">
        <is>
          <t>筑家·左海家园</t>
        </is>
      </c>
      <c r="F13" s="13" t="inlineStr">
        <is>
          <t>住宅</t>
        </is>
      </c>
      <c r="G13" s="13" t="inlineStr">
        <is>
          <t>阿里资产</t>
        </is>
      </c>
      <c r="H13" s="13" t="inlineStr">
        <is>
          <t>一拍</t>
        </is>
      </c>
      <c r="I13" s="48" t="n">
        <v>46294.41666666666</v>
      </c>
      <c r="J13" s="13" t="inlineStr">
        <is>
          <t>即将开始</t>
        </is>
      </c>
      <c r="K13" s="13" t="inlineStr">
        <is>
          <t>福州市仓山区人民法院</t>
        </is>
      </c>
      <c r="L13" s="29" t="n">
        <v>87.87</v>
      </c>
      <c r="M13" s="33">
        <f>IF(AND(ISNUMBER(N13),ISNUMBER(L13),L13&gt;0),ROUND(N13/L13,2),"")</f>
        <v/>
      </c>
      <c r="N13" s="49" t="n">
        <v>1291689</v>
      </c>
      <c r="O13" s="49" t="n">
        <v>1845270</v>
      </c>
      <c r="P13" s="38">
        <f>IF(AND(ISNUMBER(N13),ISNUMBER(O13),O13&gt;0),N13/O13,"")</f>
        <v/>
      </c>
      <c r="Q13" s="13" t="inlineStr">
        <is>
          <t>未找到评估报告</t>
        </is>
      </c>
      <c r="R13" s="20" t="inlineStr">
        <is>
          <t>https://sf-item.taobao.com/sf_item/1076842623569.htm</t>
        </is>
      </c>
    </row>
    <row r="14">
      <c r="A14" s="13" t="inlineStr">
        <is>
          <t>福建省</t>
        </is>
      </c>
      <c r="B14" s="13" t="inlineStr">
        <is>
          <t>福州市</t>
        </is>
      </c>
      <c r="C14" s="13" t="inlineStr">
        <is>
          <t>鼓楼区</t>
        </is>
      </c>
      <c r="D14" s="13" t="inlineStr">
        <is>
          <t>温泉街道东大路150号恒裕大厦201单元</t>
        </is>
      </c>
      <c r="E14" s="13" t="inlineStr">
        <is>
          <t>恒裕大厦</t>
        </is>
      </c>
      <c r="F14" s="13" t="inlineStr">
        <is>
          <t>住宅</t>
        </is>
      </c>
      <c r="G14" s="13" t="inlineStr">
        <is>
          <t>阿里资产</t>
        </is>
      </c>
      <c r="H14" s="13" t="inlineStr">
        <is>
          <t>二拍</t>
        </is>
      </c>
      <c r="I14" s="48" t="n">
        <v>46275.41666666666</v>
      </c>
      <c r="J14" s="13" t="inlineStr">
        <is>
          <t>即将开始</t>
        </is>
      </c>
      <c r="K14" s="13" t="inlineStr">
        <is>
          <t>福州市台江区人民法院</t>
        </is>
      </c>
      <c r="L14" s="30" t="n">
        <v>194.5</v>
      </c>
      <c r="M14" s="33">
        <f>IF(AND(ISNUMBER(N14),ISNUMBER(L14),L14&gt;0),ROUND(N14/L14,2),"")</f>
        <v/>
      </c>
      <c r="N14" s="49" t="n">
        <v>2505160</v>
      </c>
      <c r="O14" s="49" t="n">
        <v>4473500</v>
      </c>
      <c r="P14" s="38">
        <f>IF(AND(ISNUMBER(N14),ISNUMBER(O14),O14&gt;0),N14/O14,"")</f>
        <v/>
      </c>
      <c r="Q14" s="20" t="inlineStr">
        <is>
          <t>40</t>
        </is>
      </c>
      <c r="R14" s="20" t="inlineStr">
        <is>
          <t>https://sf-item.taobao.com/sf_item/1076535799316.htm</t>
        </is>
      </c>
    </row>
    <row r="15">
      <c r="A15" s="13" t="inlineStr">
        <is>
          <t>福建省</t>
        </is>
      </c>
      <c r="B15" s="13" t="inlineStr">
        <is>
          <t>福州市</t>
        </is>
      </c>
      <c r="C15" s="13" t="inlineStr">
        <is>
          <t>晋安区</t>
        </is>
      </c>
      <c r="D15" s="13" t="inlineStr">
        <is>
          <t>鼓山镇远洋路58号融侨东区C区3#楼206单元</t>
        </is>
      </c>
      <c r="E15" s="13" t="inlineStr">
        <is>
          <t>融侨东区C区</t>
        </is>
      </c>
      <c r="F15" s="13" t="inlineStr">
        <is>
          <t>住宅</t>
        </is>
      </c>
      <c r="G15" s="13" t="inlineStr">
        <is>
          <t>阿里资产</t>
        </is>
      </c>
      <c r="H15" s="13" t="inlineStr">
        <is>
          <t>一拍</t>
        </is>
      </c>
      <c r="I15" s="48" t="n">
        <v>46293.41666666666</v>
      </c>
      <c r="J15" s="13" t="inlineStr">
        <is>
          <t>即将开始</t>
        </is>
      </c>
      <c r="K15" s="13" t="inlineStr">
        <is>
          <t>福州市晋安区人民法院</t>
        </is>
      </c>
      <c r="L15" s="30" t="n">
        <v>90.92</v>
      </c>
      <c r="M15" s="33">
        <f>IF(AND(ISNUMBER(N15),ISNUMBER(L15),L15&gt;0),ROUND(N15/L15,2),"")</f>
        <v/>
      </c>
      <c r="N15" s="49" t="n">
        <v>776869</v>
      </c>
      <c r="O15" s="49" t="n">
        <v>1109812.51</v>
      </c>
      <c r="P15" s="38">
        <f>IF(AND(ISNUMBER(N15),ISNUMBER(O15),O15&gt;0),N15/O15,"")</f>
        <v/>
      </c>
      <c r="Q15" s="13" t="inlineStr">
        <is>
          <t>户型：3室1厅</t>
        </is>
      </c>
      <c r="R15" s="20" t="inlineStr">
        <is>
          <t>https://sf-item.taobao.com/sf_item/1079478676292.htm</t>
        </is>
      </c>
    </row>
    <row r="16">
      <c r="A16" s="13" t="inlineStr">
        <is>
          <t>福建省</t>
        </is>
      </c>
      <c r="B16" s="13" t="inlineStr">
        <is>
          <t>福州市</t>
        </is>
      </c>
      <c r="C16" s="13" t="inlineStr">
        <is>
          <t>晋安区</t>
        </is>
      </c>
      <c r="D16" s="13" t="inlineStr">
        <is>
          <t>鼓山镇连洋西路169号中海万锦花园2#楼1007复式单元</t>
        </is>
      </c>
      <c r="E16" s="13" t="inlineStr">
        <is>
          <t>中海万锦花园</t>
        </is>
      </c>
      <c r="F16" s="13" t="inlineStr">
        <is>
          <t>住宅</t>
        </is>
      </c>
      <c r="G16" s="13" t="inlineStr">
        <is>
          <t>阿里资产</t>
        </is>
      </c>
      <c r="H16" s="13" t="inlineStr">
        <is>
          <t>一拍</t>
        </is>
      </c>
      <c r="I16" s="48" t="n">
        <v>46292.41666666666</v>
      </c>
      <c r="J16" s="13" t="inlineStr">
        <is>
          <t>即将开始</t>
        </is>
      </c>
      <c r="K16" s="13" t="inlineStr">
        <is>
          <t>福州市鼓楼区人民法院</t>
        </is>
      </c>
      <c r="L16" s="30" t="n">
        <v>110.65</v>
      </c>
      <c r="M16" s="33">
        <f>IF(AND(ISNUMBER(N16),ISNUMBER(L16),L16&gt;0),ROUND(N16/L16,2),"")</f>
        <v/>
      </c>
      <c r="N16" s="49" t="n">
        <v>2080000</v>
      </c>
      <c r="O16" s="49" t="n">
        <v>2969919.9</v>
      </c>
      <c r="P16" s="38">
        <f>IF(AND(ISNUMBER(N16),ISNUMBER(O16),O16&gt;0),N16/O16,"")</f>
        <v/>
      </c>
      <c r="Q16" s="13" t="inlineStr">
        <is>
          <t>户型：4室1厅</t>
        </is>
      </c>
      <c r="R16" s="20" t="inlineStr">
        <is>
          <t>https://sf-item.taobao.com/sf_item/1078450633691.htm</t>
        </is>
      </c>
    </row>
    <row r="17">
      <c r="A17" s="13" t="inlineStr">
        <is>
          <t>福建省</t>
        </is>
      </c>
      <c r="B17" s="13" t="inlineStr">
        <is>
          <t>福州市</t>
        </is>
      </c>
      <c r="C17" s="13" t="inlineStr">
        <is>
          <t>晋安区</t>
        </is>
      </c>
      <c r="D17" s="13" t="inlineStr">
        <is>
          <t>鼓山镇福新东路7号君临晋安商业中心1#楼233单元房产</t>
        </is>
      </c>
      <c r="E17" s="13" t="inlineStr">
        <is>
          <t>君临晋安商业中心</t>
        </is>
      </c>
      <c r="F17" s="13" t="inlineStr">
        <is>
          <t>商业</t>
        </is>
      </c>
      <c r="G17" s="13" t="inlineStr">
        <is>
          <t>阿里资产</t>
        </is>
      </c>
      <c r="H17" s="13" t="inlineStr">
        <is>
          <t>一拍</t>
        </is>
      </c>
      <c r="I17" s="48" t="n">
        <v>46291.41666666666</v>
      </c>
      <c r="J17" s="13" t="inlineStr">
        <is>
          <t>即将开始</t>
        </is>
      </c>
      <c r="K17" s="13" t="inlineStr">
        <is>
          <t>闽侯县人民法院</t>
        </is>
      </c>
      <c r="L17" s="30" t="n">
        <v>39.1</v>
      </c>
      <c r="M17" s="33">
        <f>IF(AND(ISNUMBER(N17),ISNUMBER(L17),L17&gt;0),ROUND(N17/L17,2),"")</f>
        <v/>
      </c>
      <c r="N17" s="49" t="n">
        <v>370000</v>
      </c>
      <c r="O17" s="49" t="n">
        <v>520900</v>
      </c>
      <c r="P17" s="38">
        <f>IF(AND(ISNUMBER(N17),ISNUMBER(O17),O17&gt;0),N17/O17,"")</f>
        <v/>
      </c>
      <c r="Q17" s="20" t="inlineStr">
        <is>
          <t>40</t>
        </is>
      </c>
      <c r="R17" s="20" t="inlineStr">
        <is>
          <t>https://sf-item.taobao.com/sf_item/1077267010028.htm</t>
        </is>
      </c>
    </row>
    <row r="18">
      <c r="A18" s="13" t="inlineStr">
        <is>
          <t>福建省</t>
        </is>
      </c>
      <c r="B18" s="13" t="inlineStr">
        <is>
          <t>福州市</t>
        </is>
      </c>
      <c r="C18" s="13" t="inlineStr">
        <is>
          <t>晋安区</t>
        </is>
      </c>
      <c r="D18" s="13" t="inlineStr">
        <is>
          <t>连江北路589号金晖新村32#楼803单元</t>
        </is>
      </c>
      <c r="E18" s="13" t="inlineStr">
        <is>
          <t>金晖新村</t>
        </is>
      </c>
      <c r="F18" s="13" t="inlineStr">
        <is>
          <t>住宅</t>
        </is>
      </c>
      <c r="G18" s="13" t="inlineStr">
        <is>
          <t>阿里资产</t>
        </is>
      </c>
      <c r="H18" s="13" t="inlineStr">
        <is>
          <t>一拍</t>
        </is>
      </c>
      <c r="I18" s="48" t="n">
        <v>46290.41666666666</v>
      </c>
      <c r="J18" s="13" t="inlineStr">
        <is>
          <t>即将开始</t>
        </is>
      </c>
      <c r="K18" s="13" t="inlineStr">
        <is>
          <t>连江县人民法院</t>
        </is>
      </c>
      <c r="L18" s="30" t="n">
        <v>99.53</v>
      </c>
      <c r="M18" s="33">
        <f>IF(AND(ISNUMBER(N18),ISNUMBER(L18),L18&gt;0),ROUND(N18/L18,2),"")</f>
        <v/>
      </c>
      <c r="N18" s="49" t="n">
        <v>886580.98</v>
      </c>
      <c r="O18" s="49" t="n">
        <v>985089.98</v>
      </c>
      <c r="P18" s="38">
        <f>IF(AND(ISNUMBER(N18),ISNUMBER(O18),O18&gt;0),N18/O18,"")</f>
        <v/>
      </c>
      <c r="Q18" s="20" t="inlineStr">
        <is>
          <t>40</t>
        </is>
      </c>
      <c r="R18" s="20" t="inlineStr">
        <is>
          <t>https://sf-item.taobao.com/sf_item/1078275841776.htm</t>
        </is>
      </c>
    </row>
    <row r="19">
      <c r="A19" s="13" t="inlineStr">
        <is>
          <t>福建省</t>
        </is>
      </c>
      <c r="B19" s="13" t="inlineStr">
        <is>
          <t>福州市</t>
        </is>
      </c>
      <c r="C19" s="13" t="inlineStr">
        <is>
          <t>晋安区</t>
        </is>
      </c>
      <c r="D19" s="13" t="inlineStr">
        <is>
          <t>岳峰镇洋头尾路165号泰禾金尊府花园（一区）（东二环泰禾城市广场东区F06地块（D区）（泰禾·金尊府））12#楼106单元</t>
        </is>
      </c>
      <c r="E19" s="13" t="inlineStr">
        <is>
          <t>泰禾金尊府花园（一区）</t>
        </is>
      </c>
      <c r="F19" s="13" t="inlineStr">
        <is>
          <t>住宅</t>
        </is>
      </c>
      <c r="G19" s="13" t="inlineStr">
        <is>
          <t>阿里资产</t>
        </is>
      </c>
      <c r="H19" s="13" t="inlineStr">
        <is>
          <t>二拍</t>
        </is>
      </c>
      <c r="I19" s="48" t="n">
        <v>46279.41666666666</v>
      </c>
      <c r="J19" s="13" t="inlineStr">
        <is>
          <t>即将开始</t>
        </is>
      </c>
      <c r="K19" s="13" t="inlineStr">
        <is>
          <t>福州市晋安区人民法院</t>
        </is>
      </c>
      <c r="L19" s="30" t="n">
        <v>115.65</v>
      </c>
      <c r="M19" s="33">
        <f>IF(AND(ISNUMBER(N19),ISNUMBER(L19),L19&gt;0),ROUND(N19/L19,2),"")</f>
        <v/>
      </c>
      <c r="N19" s="49" t="n">
        <v>2253809</v>
      </c>
      <c r="O19" s="49" t="n">
        <v>3756347</v>
      </c>
      <c r="P19" s="38">
        <f>IF(AND(ISNUMBER(N19),ISNUMBER(O19),O19&gt;0),N19/O19,"")</f>
        <v/>
      </c>
      <c r="Q19" s="13" t="inlineStr">
        <is>
          <t>户型：3室1厅</t>
        </is>
      </c>
      <c r="R19" s="20" t="inlineStr">
        <is>
          <t>https://sf-item.taobao.com/sf_item/1076662515283.htm</t>
        </is>
      </c>
    </row>
    <row r="20">
      <c r="A20" s="13" t="inlineStr">
        <is>
          <t>福建省</t>
        </is>
      </c>
      <c r="B20" s="13" t="inlineStr">
        <is>
          <t>福州市</t>
        </is>
      </c>
      <c r="C20" s="13" t="inlineStr">
        <is>
          <t>连江县</t>
        </is>
      </c>
      <c r="D20" s="13" t="inlineStr">
        <is>
          <t>凤城镇可门路1号恒宇国际华府5幢1205单元</t>
        </is>
      </c>
      <c r="E20" s="13" t="inlineStr">
        <is>
          <t>恒宇国际华府</t>
        </is>
      </c>
      <c r="F20" s="13" t="inlineStr">
        <is>
          <t>住宅</t>
        </is>
      </c>
      <c r="G20" s="13" t="inlineStr">
        <is>
          <t>阿里资产</t>
        </is>
      </c>
      <c r="H20" s="13" t="inlineStr">
        <is>
          <t>一拍</t>
        </is>
      </c>
      <c r="I20" s="48" t="n">
        <v>46293.41666666666</v>
      </c>
      <c r="J20" s="13" t="inlineStr">
        <is>
          <t>即将开始</t>
        </is>
      </c>
      <c r="K20" s="13" t="inlineStr">
        <is>
          <t>连江县人民法院</t>
        </is>
      </c>
      <c r="L20" s="30" t="n">
        <v>116.64</v>
      </c>
      <c r="M20" s="33">
        <f>IF(AND(ISNUMBER(N20),ISNUMBER(L20),L20&gt;0),ROUND(N20/L20,2),"")</f>
        <v/>
      </c>
      <c r="N20" s="49" t="n">
        <v>922211</v>
      </c>
      <c r="O20" s="49" t="n">
        <v>1317442.97</v>
      </c>
      <c r="P20" s="38">
        <f>IF(AND(ISNUMBER(N20),ISNUMBER(O20),O20&gt;0),N20/O20,"")</f>
        <v/>
      </c>
      <c r="Q20" s="20" t="inlineStr">
        <is>
          <t>40</t>
        </is>
      </c>
      <c r="R20" s="20" t="inlineStr">
        <is>
          <t>https://sf-item.taobao.com/sf_item/1076579847499.htm</t>
        </is>
      </c>
    </row>
    <row r="21">
      <c r="A21" s="13" t="inlineStr">
        <is>
          <t>福建省</t>
        </is>
      </c>
      <c r="B21" s="13" t="inlineStr">
        <is>
          <t>福州市</t>
        </is>
      </c>
      <c r="C21" s="13" t="inlineStr">
        <is>
          <t>连江县</t>
        </is>
      </c>
      <c r="D21" s="13" t="inlineStr">
        <is>
          <t>凤城镇西凤路53号凯悦明珠住宅楼1609单元</t>
        </is>
      </c>
      <c r="E21" s="13" t="inlineStr">
        <is>
          <t>凯悦明珠</t>
        </is>
      </c>
      <c r="F21" s="13" t="inlineStr">
        <is>
          <t>住宅</t>
        </is>
      </c>
      <c r="G21" s="13" t="inlineStr">
        <is>
          <t>阿里资产</t>
        </is>
      </c>
      <c r="H21" s="13" t="inlineStr">
        <is>
          <t>一拍</t>
        </is>
      </c>
      <c r="I21" s="48" t="n">
        <v>46293.41666666666</v>
      </c>
      <c r="J21" s="13" t="inlineStr">
        <is>
          <t>即将开始</t>
        </is>
      </c>
      <c r="K21" s="13" t="inlineStr">
        <is>
          <t>福州市鼓楼区人民法院</t>
        </is>
      </c>
      <c r="L21" s="30" t="n">
        <v>137.97</v>
      </c>
      <c r="M21" s="33">
        <f>IF(AND(ISNUMBER(N21),ISNUMBER(L21),L21&gt;0),ROUND(N21/L21,2),"")</f>
        <v/>
      </c>
      <c r="N21" s="49" t="n">
        <v>610000</v>
      </c>
      <c r="O21" s="49" t="n">
        <v>869471.48</v>
      </c>
      <c r="P21" s="38">
        <f>IF(AND(ISNUMBER(N21),ISNUMBER(O21),O21&gt;0),N21/O21,"")</f>
        <v/>
      </c>
      <c r="Q21" s="13" t="inlineStr">
        <is>
          <t>户型：3室2厅</t>
        </is>
      </c>
      <c r="R21" s="20" t="inlineStr">
        <is>
          <t>https://sf-item.taobao.com/sf_item/1077427450059.htm</t>
        </is>
      </c>
    </row>
    <row r="22">
      <c r="A22" s="13" t="inlineStr">
        <is>
          <t>福建省</t>
        </is>
      </c>
      <c r="B22" s="13" t="inlineStr">
        <is>
          <t>福州市</t>
        </is>
      </c>
      <c r="C22" s="13" t="inlineStr">
        <is>
          <t>连江县</t>
        </is>
      </c>
      <c r="D22" s="13" t="inlineStr">
        <is>
          <t>潘渡乡沿江大道1号贵安新天地贵雅苑21幢1404单元</t>
        </is>
      </c>
      <c r="E22" s="13" t="inlineStr">
        <is>
          <t>贵安新天地</t>
        </is>
      </c>
      <c r="F22" s="13" t="inlineStr">
        <is>
          <t>住宅</t>
        </is>
      </c>
      <c r="G22" s="13" t="inlineStr">
        <is>
          <t>阿里资产</t>
        </is>
      </c>
      <c r="H22" s="13" t="inlineStr">
        <is>
          <t>变卖</t>
        </is>
      </c>
      <c r="I22" s="48" t="n">
        <v>46278.41666666666</v>
      </c>
      <c r="J22" s="13" t="inlineStr">
        <is>
          <t>即将开始</t>
        </is>
      </c>
      <c r="K22" s="13" t="inlineStr">
        <is>
          <t>连江县人民法院</t>
        </is>
      </c>
      <c r="L22" s="30" t="n">
        <v>120.19</v>
      </c>
      <c r="M22" s="33">
        <f>IF(AND(ISNUMBER(N22),ISNUMBER(L22),L22&gt;0),ROUND(N22/L22,2),"")</f>
        <v/>
      </c>
      <c r="N22" s="49" t="n">
        <v>260352</v>
      </c>
      <c r="O22" s="49" t="n">
        <v>406798.26</v>
      </c>
      <c r="P22" s="38">
        <f>IF(AND(ISNUMBER(N22),ISNUMBER(O22),O22&gt;0),N22/O22,"")</f>
        <v/>
      </c>
      <c r="Q22" s="20" t="inlineStr">
        <is>
          <t>40</t>
        </is>
      </c>
      <c r="R22" s="20" t="inlineStr">
        <is>
          <t>https://sf-item.taobao.com/sf_item/1076373571153.htm</t>
        </is>
      </c>
    </row>
    <row r="23">
      <c r="A23" s="13" t="inlineStr">
        <is>
          <t>福建省</t>
        </is>
      </c>
      <c r="B23" s="13" t="inlineStr">
        <is>
          <t>福州市</t>
        </is>
      </c>
      <c r="C23" s="13" t="inlineStr">
        <is>
          <t>连江县</t>
        </is>
      </c>
      <c r="D23" s="13" t="inlineStr">
        <is>
          <t>琯头镇粗芦岛龙沙村联合路135号丽水蓝湾小区1幢1505单元</t>
        </is>
      </c>
      <c r="E23" s="13" t="inlineStr">
        <is>
          <t>丽水蓝湾</t>
        </is>
      </c>
      <c r="F23" s="13" t="inlineStr">
        <is>
          <t>住宅</t>
        </is>
      </c>
      <c r="G23" s="13" t="inlineStr">
        <is>
          <t>阿里资产</t>
        </is>
      </c>
      <c r="H23" s="13" t="inlineStr">
        <is>
          <t>变卖</t>
        </is>
      </c>
      <c r="I23" s="48" t="n">
        <v>46278.41666666666</v>
      </c>
      <c r="J23" s="13" t="inlineStr">
        <is>
          <t>即将开始</t>
        </is>
      </c>
      <c r="K23" s="13" t="inlineStr">
        <is>
          <t>连江县人民法院</t>
        </is>
      </c>
      <c r="L23" s="30" t="n">
        <v>72.19</v>
      </c>
      <c r="M23" s="33">
        <f>IF(AND(ISNUMBER(N23),ISNUMBER(L23),L23&gt;0),ROUND(N23/L23,2),"")</f>
        <v/>
      </c>
      <c r="N23" s="49" t="n">
        <v>260326.08</v>
      </c>
      <c r="O23" s="49" t="n">
        <v>361563.99</v>
      </c>
      <c r="P23" s="38">
        <f>IF(AND(ISNUMBER(N23),ISNUMBER(O23),O23&gt;0),N23/O23,"")</f>
        <v/>
      </c>
      <c r="Q23" s="20" t="inlineStr">
        <is>
          <t>40</t>
        </is>
      </c>
      <c r="R23" s="20" t="inlineStr">
        <is>
          <t>https://sf-item.taobao.com/sf_item/1076544719043.htm</t>
        </is>
      </c>
    </row>
    <row r="24">
      <c r="A24" s="13" t="inlineStr">
        <is>
          <t>福建省</t>
        </is>
      </c>
      <c r="B24" s="13" t="inlineStr">
        <is>
          <t>福州市</t>
        </is>
      </c>
      <c r="C24" s="13" t="inlineStr">
        <is>
          <t>连江县</t>
        </is>
      </c>
      <c r="D24" s="13" t="inlineStr">
        <is>
          <t>琯头镇粗芦岛龙沙村联合路135号丽水蓝湾小区1幢1405单元</t>
        </is>
      </c>
      <c r="E24" s="13" t="inlineStr">
        <is>
          <t>丽水蓝湾</t>
        </is>
      </c>
      <c r="F24" s="13" t="inlineStr">
        <is>
          <t>住宅</t>
        </is>
      </c>
      <c r="G24" s="13" t="inlineStr">
        <is>
          <t>阿里资产</t>
        </is>
      </c>
      <c r="H24" s="13" t="inlineStr">
        <is>
          <t>变卖</t>
        </is>
      </c>
      <c r="I24" s="48" t="n">
        <v>46278.41666666666</v>
      </c>
      <c r="J24" s="13" t="inlineStr">
        <is>
          <t>即将开始</t>
        </is>
      </c>
      <c r="K24" s="13" t="inlineStr">
        <is>
          <t>连江县人民法院</t>
        </is>
      </c>
      <c r="L24" s="30" t="n">
        <v>72.19</v>
      </c>
      <c r="M24" s="33">
        <f>IF(AND(ISNUMBER(N24),ISNUMBER(L24),L24&gt;0),ROUND(N24/L24,2),"")</f>
        <v/>
      </c>
      <c r="N24" s="49" t="n">
        <v>259988.23</v>
      </c>
      <c r="O24" s="49" t="n">
        <v>361094.76</v>
      </c>
      <c r="P24" s="38">
        <f>IF(AND(ISNUMBER(N24),ISNUMBER(O24),O24&gt;0),N24/O24,"")</f>
        <v/>
      </c>
      <c r="Q24" s="20" t="inlineStr">
        <is>
          <t>40</t>
        </is>
      </c>
      <c r="R24" s="20" t="inlineStr">
        <is>
          <t>https://sf-item.taobao.com/sf_item/1076546523047.htm</t>
        </is>
      </c>
    </row>
    <row r="25">
      <c r="A25" s="13" t="inlineStr">
        <is>
          <t>福建省</t>
        </is>
      </c>
      <c r="B25" s="13" t="inlineStr">
        <is>
          <t>福州市</t>
        </is>
      </c>
      <c r="C25" s="13" t="inlineStr">
        <is>
          <t>连江县</t>
        </is>
      </c>
      <c r="D25" s="13" t="inlineStr">
        <is>
          <t>琯头镇粗芦岛龙沙村联合路135号丽水蓝湾小区1幢1506单元</t>
        </is>
      </c>
      <c r="E25" s="13" t="inlineStr">
        <is>
          <t>丽水蓝湾</t>
        </is>
      </c>
      <c r="F25" s="13" t="inlineStr">
        <is>
          <t>住宅</t>
        </is>
      </c>
      <c r="G25" s="13" t="inlineStr">
        <is>
          <t>阿里资产</t>
        </is>
      </c>
      <c r="H25" s="13" t="inlineStr">
        <is>
          <t>变卖</t>
        </is>
      </c>
      <c r="I25" s="48" t="n">
        <v>46278.41666666666</v>
      </c>
      <c r="J25" s="13" t="inlineStr">
        <is>
          <t>即将开始</t>
        </is>
      </c>
      <c r="K25" s="13" t="inlineStr">
        <is>
          <t>连江县人民法院</t>
        </is>
      </c>
      <c r="L25" s="30" t="n">
        <v>72.19</v>
      </c>
      <c r="M25" s="33">
        <f>IF(AND(ISNUMBER(N25),ISNUMBER(L25),L25&gt;0),ROUND(N25/L25,2),"")</f>
        <v/>
      </c>
      <c r="N25" s="49" t="n">
        <v>260326.08</v>
      </c>
      <c r="O25" s="49" t="n">
        <v>361563.99</v>
      </c>
      <c r="P25" s="38">
        <f>IF(AND(ISNUMBER(N25),ISNUMBER(O25),O25&gt;0),N25/O25,"")</f>
        <v/>
      </c>
      <c r="Q25" s="20" t="inlineStr">
        <is>
          <t>40</t>
        </is>
      </c>
      <c r="R25" s="20" t="inlineStr">
        <is>
          <t>https://sf-item.taobao.com/sf_item/1077400586126.htm</t>
        </is>
      </c>
    </row>
    <row r="26">
      <c r="A26" s="13" t="inlineStr">
        <is>
          <t>福建省</t>
        </is>
      </c>
      <c r="B26" s="13" t="inlineStr">
        <is>
          <t>福州市</t>
        </is>
      </c>
      <c r="C26" s="13" t="inlineStr">
        <is>
          <t>连江县</t>
        </is>
      </c>
      <c r="D26" s="13" t="inlineStr">
        <is>
          <t>敖江镇海云路4号东郡华府苑地下室161车位</t>
        </is>
      </c>
      <c r="E26" s="13" t="inlineStr">
        <is>
          <t>东郡</t>
        </is>
      </c>
      <c r="F26" s="13" t="inlineStr">
        <is>
          <t>车位</t>
        </is>
      </c>
      <c r="G26" s="13" t="inlineStr">
        <is>
          <t>阿里资产</t>
        </is>
      </c>
      <c r="H26" s="13" t="inlineStr">
        <is>
          <t>二拍</t>
        </is>
      </c>
      <c r="I26" s="48" t="n">
        <v>46278.41666666666</v>
      </c>
      <c r="J26" s="13" t="inlineStr">
        <is>
          <t>即将开始</t>
        </is>
      </c>
      <c r="K26" s="13" t="inlineStr">
        <is>
          <t>连江县人民法院</t>
        </is>
      </c>
      <c r="L26" s="30" t="n">
        <v>27.18</v>
      </c>
      <c r="M26" s="33">
        <f>IF(AND(ISNUMBER(N26),ISNUMBER(L26),L26&gt;0),ROUND(N26/L26,2),"")</f>
        <v/>
      </c>
      <c r="N26" s="49" t="n">
        <v>90532</v>
      </c>
      <c r="O26" s="49" t="n">
        <v>161662.83</v>
      </c>
      <c r="P26" s="38">
        <f>IF(AND(ISNUMBER(N26),ISNUMBER(O26),O26&gt;0),N26/O26,"")</f>
        <v/>
      </c>
      <c r="Q26" s="20" t="inlineStr">
        <is>
          <t>40</t>
        </is>
      </c>
      <c r="R26" s="20" t="inlineStr">
        <is>
          <t>https://sf-item.taobao.com/sf_item/1077402778797.htm</t>
        </is>
      </c>
    </row>
    <row r="27">
      <c r="A27" s="13" t="inlineStr">
        <is>
          <t>福建省</t>
        </is>
      </c>
      <c r="B27" s="13" t="inlineStr">
        <is>
          <t>福州市</t>
        </is>
      </c>
      <c r="C27" s="13" t="inlineStr">
        <is>
          <t>连江县</t>
        </is>
      </c>
      <c r="D27" s="13" t="inlineStr">
        <is>
          <t>琯头镇粗芦岛龙沙村联合路135号丽水蓝湾小区1幢1307单元</t>
        </is>
      </c>
      <c r="E27" s="13" t="inlineStr">
        <is>
          <t>丽水蓝湾</t>
        </is>
      </c>
      <c r="F27" s="13" t="inlineStr">
        <is>
          <t>住宅</t>
        </is>
      </c>
      <c r="G27" s="13" t="inlineStr">
        <is>
          <t>阿里资产</t>
        </is>
      </c>
      <c r="H27" s="13" t="inlineStr">
        <is>
          <t>变卖</t>
        </is>
      </c>
      <c r="I27" s="48" t="n">
        <v>46278.41666666666</v>
      </c>
      <c r="J27" s="13" t="inlineStr">
        <is>
          <t>即将开始</t>
        </is>
      </c>
      <c r="K27" s="13" t="inlineStr">
        <is>
          <t>连江县人民法院</t>
        </is>
      </c>
      <c r="L27" s="30" t="n">
        <v>72.19</v>
      </c>
      <c r="M27" s="33">
        <f>IF(AND(ISNUMBER(N27),ISNUMBER(L27),L27&gt;0),ROUND(N27/L27,2),"")</f>
        <v/>
      </c>
      <c r="N27" s="49" t="n">
        <v>259624.39</v>
      </c>
      <c r="O27" s="49" t="n">
        <v>360589.43</v>
      </c>
      <c r="P27" s="38">
        <f>IF(AND(ISNUMBER(N27),ISNUMBER(O27),O27&gt;0),N27/O27,"")</f>
        <v/>
      </c>
      <c r="Q27" s="20" t="inlineStr">
        <is>
          <t>40</t>
        </is>
      </c>
      <c r="R27" s="20" t="inlineStr">
        <is>
          <t>https://sf-item.taobao.com/sf_item/1077412626061.htm</t>
        </is>
      </c>
    </row>
    <row r="28">
      <c r="A28" s="13" t="inlineStr">
        <is>
          <t>福建省</t>
        </is>
      </c>
      <c r="B28" s="13" t="inlineStr">
        <is>
          <t>福州市</t>
        </is>
      </c>
      <c r="C28" s="13" t="inlineStr">
        <is>
          <t>连江县</t>
        </is>
      </c>
      <c r="D28" s="13" t="inlineStr">
        <is>
          <t>琯头镇粗芦岛龙沙村联合路135号丽水蓝湾小区1幢1507单元</t>
        </is>
      </c>
      <c r="E28" s="13" t="inlineStr">
        <is>
          <t>丽水蓝湾</t>
        </is>
      </c>
      <c r="F28" s="13" t="inlineStr">
        <is>
          <t>住宅</t>
        </is>
      </c>
      <c r="G28" s="13" t="inlineStr">
        <is>
          <t>阿里资产</t>
        </is>
      </c>
      <c r="H28" s="13" t="inlineStr">
        <is>
          <t>变卖</t>
        </is>
      </c>
      <c r="I28" s="48" t="n">
        <v>46278.41666666666</v>
      </c>
      <c r="J28" s="13" t="inlineStr">
        <is>
          <t>即将开始</t>
        </is>
      </c>
      <c r="K28" s="13" t="inlineStr">
        <is>
          <t>连江县人民法院</t>
        </is>
      </c>
      <c r="L28" s="30" t="n">
        <v>72.19</v>
      </c>
      <c r="M28" s="33">
        <f>IF(AND(ISNUMBER(N28),ISNUMBER(L28),L28&gt;0),ROUND(N28/L28,2),"")</f>
        <v/>
      </c>
      <c r="N28" s="49" t="n">
        <v>260326.08</v>
      </c>
      <c r="O28" s="49" t="n">
        <v>361563.99</v>
      </c>
      <c r="P28" s="38">
        <f>IF(AND(ISNUMBER(N28),ISNUMBER(O28),O28&gt;0),N28/O28,"")</f>
        <v/>
      </c>
      <c r="Q28" s="20" t="inlineStr">
        <is>
          <t>40</t>
        </is>
      </c>
      <c r="R28" s="20" t="inlineStr">
        <is>
          <t>https://sf-item.taobao.com/sf_item/1077413086511.htm</t>
        </is>
      </c>
    </row>
    <row r="29">
      <c r="A29" s="13" t="inlineStr">
        <is>
          <t>福建省</t>
        </is>
      </c>
      <c r="B29" s="13" t="inlineStr">
        <is>
          <t>福州市</t>
        </is>
      </c>
      <c r="C29" s="13" t="inlineStr">
        <is>
          <t>连江县</t>
        </is>
      </c>
      <c r="D29" s="13" t="inlineStr">
        <is>
          <t>琯头镇粗芦岛龙沙村联合路135号丽水蓝湾小区1幢1406单元</t>
        </is>
      </c>
      <c r="E29" s="13" t="inlineStr">
        <is>
          <t>丽水蓝湾</t>
        </is>
      </c>
      <c r="F29" s="13" t="inlineStr">
        <is>
          <t>住宅</t>
        </is>
      </c>
      <c r="G29" s="13" t="inlineStr">
        <is>
          <t>阿里资产</t>
        </is>
      </c>
      <c r="H29" s="13" t="inlineStr">
        <is>
          <t>变卖</t>
        </is>
      </c>
      <c r="I29" s="48" t="n">
        <v>46278.41666666666</v>
      </c>
      <c r="J29" s="13" t="inlineStr">
        <is>
          <t>即将开始</t>
        </is>
      </c>
      <c r="K29" s="13" t="inlineStr">
        <is>
          <t>连江县人民法院</t>
        </is>
      </c>
      <c r="L29" s="30" t="n">
        <v>72.19</v>
      </c>
      <c r="M29" s="33">
        <f>IF(AND(ISNUMBER(N29),ISNUMBER(L29),L29&gt;0),ROUND(N29/L29,2),"")</f>
        <v/>
      </c>
      <c r="N29" s="49" t="n">
        <v>259988.23</v>
      </c>
      <c r="O29" s="49" t="n">
        <v>361094.76</v>
      </c>
      <c r="P29" s="38">
        <f>IF(AND(ISNUMBER(N29),ISNUMBER(O29),O29&gt;0),N29/O29,"")</f>
        <v/>
      </c>
      <c r="Q29" s="20" t="inlineStr">
        <is>
          <t>40</t>
        </is>
      </c>
      <c r="R29" s="20" t="inlineStr">
        <is>
          <t>https://sf-item.taobao.com/sf_item/1077414466774.htm</t>
        </is>
      </c>
    </row>
    <row r="30">
      <c r="A30" s="13" t="inlineStr">
        <is>
          <t>福建省</t>
        </is>
      </c>
      <c r="B30" s="13" t="inlineStr">
        <is>
          <t>福州市</t>
        </is>
      </c>
      <c r="C30" s="13" t="inlineStr">
        <is>
          <t>连江县</t>
        </is>
      </c>
      <c r="D30" s="13" t="inlineStr">
        <is>
          <t>敖江镇站东路7号玖珑台2幢201单元</t>
        </is>
      </c>
      <c r="E30" s="13" t="inlineStr">
        <is>
          <t>玖珑台</t>
        </is>
      </c>
      <c r="F30" s="13" t="inlineStr">
        <is>
          <t>住宅</t>
        </is>
      </c>
      <c r="G30" s="13" t="inlineStr">
        <is>
          <t>阿里资产</t>
        </is>
      </c>
      <c r="H30" s="13" t="inlineStr">
        <is>
          <t>变卖</t>
        </is>
      </c>
      <c r="I30" s="48" t="n">
        <v>46278.41666666666</v>
      </c>
      <c r="J30" s="13" t="inlineStr">
        <is>
          <t>即将开始</t>
        </is>
      </c>
      <c r="K30" s="13" t="inlineStr">
        <is>
          <t>连江县人民法院</t>
        </is>
      </c>
      <c r="L30" s="30" t="n">
        <v>107.27</v>
      </c>
      <c r="M30" s="33">
        <f>IF(AND(ISNUMBER(N30),ISNUMBER(L30),L30&gt;0),ROUND(N30/L30,2),"")</f>
        <v/>
      </c>
      <c r="N30" s="49" t="n">
        <v>569510</v>
      </c>
      <c r="O30" s="49" t="n">
        <v>889858.46</v>
      </c>
      <c r="P30" s="38">
        <f>IF(AND(ISNUMBER(N30),ISNUMBER(O30),O30&gt;0),N30/O30,"")</f>
        <v/>
      </c>
      <c r="Q30" s="20" t="inlineStr">
        <is>
          <t>40</t>
        </is>
      </c>
      <c r="R30" s="20" t="inlineStr">
        <is>
          <t>https://sf-item.taobao.com/sf_item/1078275853164.htm</t>
        </is>
      </c>
    </row>
    <row r="31">
      <c r="A31" s="13" t="inlineStr">
        <is>
          <t>福建省</t>
        </is>
      </c>
      <c r="B31" s="13" t="inlineStr">
        <is>
          <t>福州市</t>
        </is>
      </c>
      <c r="C31" s="13" t="inlineStr">
        <is>
          <t>连江县</t>
        </is>
      </c>
      <c r="D31" s="13" t="inlineStr">
        <is>
          <t>潘渡乡沿江大道1号贵安新天地贵豪苑11幢805单元</t>
        </is>
      </c>
      <c r="E31" s="13" t="inlineStr">
        <is>
          <t>贵安新天地贵豪苑</t>
        </is>
      </c>
      <c r="F31" s="13" t="inlineStr">
        <is>
          <t>住宅</t>
        </is>
      </c>
      <c r="G31" s="13" t="inlineStr">
        <is>
          <t>阿里资产</t>
        </is>
      </c>
      <c r="H31" s="13" t="inlineStr">
        <is>
          <t>变卖</t>
        </is>
      </c>
      <c r="I31" s="48" t="n">
        <v>46278.41666666666</v>
      </c>
      <c r="J31" s="13" t="inlineStr">
        <is>
          <t>即将开始</t>
        </is>
      </c>
      <c r="K31" s="13" t="inlineStr">
        <is>
          <t>连江县人民法院</t>
        </is>
      </c>
      <c r="L31" s="30" t="n">
        <v>114.29</v>
      </c>
      <c r="M31" s="33">
        <f>IF(AND(ISNUMBER(N31),ISNUMBER(L31),L31&gt;0),ROUND(N31/L31,2),"")</f>
        <v/>
      </c>
      <c r="N31" s="49" t="n">
        <v>357728</v>
      </c>
      <c r="O31" s="49" t="n">
        <v>638800</v>
      </c>
      <c r="P31" s="38">
        <f>IF(AND(ISNUMBER(N31),ISNUMBER(O31),O31&gt;0),N31/O31,"")</f>
        <v/>
      </c>
      <c r="Q31" s="20" t="inlineStr">
        <is>
          <t>40</t>
        </is>
      </c>
      <c r="R31" s="20" t="inlineStr">
        <is>
          <t>https://sf-item.taobao.com/sf_item/1078289101874.htm</t>
        </is>
      </c>
    </row>
    <row r="32">
      <c r="A32" s="13" t="inlineStr">
        <is>
          <t>福建省</t>
        </is>
      </c>
      <c r="B32" s="13" t="inlineStr">
        <is>
          <t>福州市</t>
        </is>
      </c>
      <c r="C32" s="13" t="inlineStr">
        <is>
          <t>连江县</t>
        </is>
      </c>
      <c r="D32" s="13" t="inlineStr">
        <is>
          <t>潘渡乡沿江大道1号贵安新天地贵府苑20幢202单元及家电家具 精选资产</t>
        </is>
      </c>
      <c r="E32" s="13" t="inlineStr">
        <is>
          <t>贵安新天地贵府苑</t>
        </is>
      </c>
      <c r="F32" s="13" t="inlineStr">
        <is>
          <t>住宅</t>
        </is>
      </c>
      <c r="G32" s="13" t="inlineStr">
        <is>
          <t>阿里资产</t>
        </is>
      </c>
      <c r="H32" s="13" t="inlineStr">
        <is>
          <t>二拍</t>
        </is>
      </c>
      <c r="I32" s="48" t="n">
        <v>46278.41666666666</v>
      </c>
      <c r="J32" s="13" t="inlineStr">
        <is>
          <t>即将开始</t>
        </is>
      </c>
      <c r="K32" s="13" t="inlineStr">
        <is>
          <t>连江县人民法院</t>
        </is>
      </c>
      <c r="L32" s="30" t="n">
        <v>129.22</v>
      </c>
      <c r="M32" s="33">
        <f>IF(AND(ISNUMBER(N32),ISNUMBER(L32),L32&gt;0),ROUND(N32/L32,2),"")</f>
        <v/>
      </c>
      <c r="N32" s="49" t="n">
        <v>353136</v>
      </c>
      <c r="O32" s="49" t="n">
        <v>630600</v>
      </c>
      <c r="P32" s="38">
        <f>IF(AND(ISNUMBER(N32),ISNUMBER(O32),O32&gt;0),N32/O32,"")</f>
        <v/>
      </c>
      <c r="Q32" s="13" t="inlineStr">
        <is>
          <t>户型：3室2厅</t>
        </is>
      </c>
      <c r="R32" s="20" t="inlineStr">
        <is>
          <t>https://sf-item.taobao.com/sf_item/1078305609423.htm</t>
        </is>
      </c>
    </row>
    <row r="33">
      <c r="A33" s="13" t="inlineStr">
        <is>
          <t>福建省</t>
        </is>
      </c>
      <c r="B33" s="13" t="inlineStr">
        <is>
          <t>福州市</t>
        </is>
      </c>
      <c r="C33" s="13" t="inlineStr">
        <is>
          <t>连江县</t>
        </is>
      </c>
      <c r="D33" s="13" t="inlineStr">
        <is>
          <t>琯头镇粗芦岛龙沙村联合路135号丽水蓝湾小区1幢1508单元</t>
        </is>
      </c>
      <c r="E33" s="13" t="inlineStr">
        <is>
          <t>丽水蓝湾</t>
        </is>
      </c>
      <c r="F33" s="13" t="inlineStr">
        <is>
          <t>住宅</t>
        </is>
      </c>
      <c r="G33" s="13" t="inlineStr">
        <is>
          <t>阿里资产</t>
        </is>
      </c>
      <c r="H33" s="13" t="inlineStr">
        <is>
          <t>变卖</t>
        </is>
      </c>
      <c r="I33" s="48" t="n">
        <v>46278.41666666666</v>
      </c>
      <c r="J33" s="13" t="inlineStr">
        <is>
          <t>即将开始</t>
        </is>
      </c>
      <c r="K33" s="13" t="inlineStr">
        <is>
          <t>连江县人民法院</t>
        </is>
      </c>
      <c r="L33" s="30" t="n">
        <v>72.19</v>
      </c>
      <c r="M33" s="33">
        <f>IF(AND(ISNUMBER(N33),ISNUMBER(L33),L33&gt;0),ROUND(N33/L33,2),"")</f>
        <v/>
      </c>
      <c r="N33" s="49" t="n">
        <v>260326.08</v>
      </c>
      <c r="O33" s="49" t="n">
        <v>361563.99</v>
      </c>
      <c r="P33" s="38">
        <f>IF(AND(ISNUMBER(N33),ISNUMBER(O33),O33&gt;0),N33/O33,"")</f>
        <v/>
      </c>
      <c r="Q33" s="20" t="inlineStr">
        <is>
          <t>40</t>
        </is>
      </c>
      <c r="R33" s="20" t="inlineStr">
        <is>
          <t>https://sf-item.taobao.com/sf_item/1078475837742.htm</t>
        </is>
      </c>
    </row>
    <row r="34">
      <c r="A34" s="13" t="inlineStr">
        <is>
          <t>福建省</t>
        </is>
      </c>
      <c r="B34" s="13" t="inlineStr">
        <is>
          <t>福州市</t>
        </is>
      </c>
      <c r="C34" s="13" t="inlineStr">
        <is>
          <t>连江县</t>
        </is>
      </c>
      <c r="D34" s="13" t="inlineStr">
        <is>
          <t>凤城镇816西路1号商贸供销综合大楼A座306单元，B座3层24附属间</t>
        </is>
      </c>
      <c r="E34" s="13" t="inlineStr">
        <is>
          <t>商贸供销综合大楼</t>
        </is>
      </c>
      <c r="F34" s="13" t="inlineStr">
        <is>
          <t>住宅</t>
        </is>
      </c>
      <c r="G34" s="13" t="inlineStr">
        <is>
          <t>阿里资产</t>
        </is>
      </c>
      <c r="H34" s="13" t="inlineStr">
        <is>
          <t>二拍</t>
        </is>
      </c>
      <c r="I34" s="48" t="n">
        <v>46278.41666666666</v>
      </c>
      <c r="J34" s="13" t="inlineStr">
        <is>
          <t>即将开始</t>
        </is>
      </c>
      <c r="K34" s="13" t="inlineStr">
        <is>
          <t>连江县人民法院</t>
        </is>
      </c>
      <c r="L34" s="30" t="n">
        <v>158.32</v>
      </c>
      <c r="M34" s="33">
        <f>IF(AND(ISNUMBER(N34),ISNUMBER(L34),L34&gt;0),ROUND(N34/L34,2),"")</f>
        <v/>
      </c>
      <c r="N34" s="49" t="n">
        <v>473884</v>
      </c>
      <c r="O34" s="49" t="n">
        <v>592354.46</v>
      </c>
      <c r="P34" s="38">
        <f>IF(AND(ISNUMBER(N34),ISNUMBER(O34),O34&gt;0),N34/O34,"")</f>
        <v/>
      </c>
      <c r="Q34" s="13" t="inlineStr">
        <is>
          <t>面积原文：商贸供销综合大楼A座306单元，B座3层24附属间；建筑面积为158.32平方米。标题另列附属间但无分项面积，无法确认158.32㎡是否包含附属间，人工需复核。</t>
        </is>
      </c>
      <c r="R34" s="20" t="inlineStr">
        <is>
          <t>https://sf-item.taobao.com/sf_item/1079291964527.htm</t>
        </is>
      </c>
    </row>
    <row r="35">
      <c r="A35" s="13" t="inlineStr">
        <is>
          <t>福建省</t>
        </is>
      </c>
      <c r="B35" s="13" t="inlineStr">
        <is>
          <t>福州市</t>
        </is>
      </c>
      <c r="C35" s="13" t="inlineStr">
        <is>
          <t>连江县</t>
        </is>
      </c>
      <c r="D35" s="13" t="inlineStr">
        <is>
          <t>琯头镇粗芦岛龙沙村联合路135号丽水蓝湾小区1幢1706单元</t>
        </is>
      </c>
      <c r="E35" s="13" t="inlineStr">
        <is>
          <t>丽水蓝湾</t>
        </is>
      </c>
      <c r="F35" s="13" t="inlineStr">
        <is>
          <t>住宅</t>
        </is>
      </c>
      <c r="G35" s="13" t="inlineStr">
        <is>
          <t>阿里资产</t>
        </is>
      </c>
      <c r="H35" s="13" t="inlineStr">
        <is>
          <t>变卖</t>
        </is>
      </c>
      <c r="I35" s="48" t="n">
        <v>46278.41666666666</v>
      </c>
      <c r="J35" s="13" t="inlineStr">
        <is>
          <t>即将开始</t>
        </is>
      </c>
      <c r="K35" s="13" t="inlineStr">
        <is>
          <t>连江县人民法院</t>
        </is>
      </c>
      <c r="L35" s="30" t="n">
        <v>72.19</v>
      </c>
      <c r="M35" s="33">
        <f>IF(AND(ISNUMBER(N35),ISNUMBER(L35),L35&gt;0),ROUND(N35/L35,2),"")</f>
        <v/>
      </c>
      <c r="N35" s="49" t="n">
        <v>261027.77</v>
      </c>
      <c r="O35" s="49" t="n">
        <v>362538.56</v>
      </c>
      <c r="P35" s="38">
        <f>IF(AND(ISNUMBER(N35),ISNUMBER(O35),O35&gt;0),N35/O35,"")</f>
        <v/>
      </c>
      <c r="Q35" s="20" t="inlineStr">
        <is>
          <t>40</t>
        </is>
      </c>
      <c r="R35" s="20" t="inlineStr">
        <is>
          <t>https://sf-item.taobao.com/sf_item/1079477680250.htm</t>
        </is>
      </c>
    </row>
    <row r="36">
      <c r="A36" s="13" t="inlineStr">
        <is>
          <t>福建省</t>
        </is>
      </c>
      <c r="B36" s="13" t="inlineStr">
        <is>
          <t>福州市</t>
        </is>
      </c>
      <c r="C36" s="13" t="inlineStr">
        <is>
          <t>连江县</t>
        </is>
      </c>
      <c r="D36" s="13" t="inlineStr">
        <is>
          <t>潘渡乡贵泉社区沿江南路6号华闽御山水庄园A4幢1506单元</t>
        </is>
      </c>
      <c r="E36" s="13" t="inlineStr">
        <is>
          <t>华闽御山水庄园</t>
        </is>
      </c>
      <c r="F36" s="13" t="inlineStr">
        <is>
          <t>住宅</t>
        </is>
      </c>
      <c r="G36" s="13" t="inlineStr">
        <is>
          <t>阿里资产</t>
        </is>
      </c>
      <c r="H36" s="13" t="inlineStr">
        <is>
          <t>二拍</t>
        </is>
      </c>
      <c r="I36" s="48" t="n">
        <v>46275.41666666666</v>
      </c>
      <c r="J36" s="13" t="inlineStr">
        <is>
          <t>即将开始</t>
        </is>
      </c>
      <c r="K36" s="13" t="inlineStr">
        <is>
          <t>连江县人民法院</t>
        </is>
      </c>
      <c r="L36" s="30" t="n">
        <v>84.34</v>
      </c>
      <c r="M36" s="33">
        <f>IF(AND(ISNUMBER(N36),ISNUMBER(L36),L36&gt;0),ROUND(N36/L36,2),"")</f>
        <v/>
      </c>
      <c r="N36" s="49" t="n">
        <v>138168.94</v>
      </c>
      <c r="O36" s="49" t="n">
        <v>246730.24</v>
      </c>
      <c r="P36" s="38">
        <f>IF(AND(ISNUMBER(N36),ISNUMBER(O36),O36&gt;0),N36/O36,"")</f>
        <v/>
      </c>
      <c r="Q36" s="20" t="inlineStr">
        <is>
          <t>40</t>
        </is>
      </c>
      <c r="R36" s="20" t="inlineStr">
        <is>
          <t>https://sf-item.taobao.com/sf_item/1078288961603.htm</t>
        </is>
      </c>
    </row>
    <row r="37">
      <c r="A37" s="13" t="inlineStr">
        <is>
          <t>福建省</t>
        </is>
      </c>
      <c r="B37" s="13" t="inlineStr">
        <is>
          <t>福州市</t>
        </is>
      </c>
      <c r="C37" s="13" t="inlineStr">
        <is>
          <t>连江县</t>
        </is>
      </c>
      <c r="D37" s="13" t="inlineStr">
        <is>
          <t>潘渡乡贵泉社区沿江南路6号华闽御山水庄园A3幢1206单元</t>
        </is>
      </c>
      <c r="E37" s="13" t="inlineStr">
        <is>
          <t>华闽御山水庄园</t>
        </is>
      </c>
      <c r="F37" s="13" t="inlineStr">
        <is>
          <t>住宅</t>
        </is>
      </c>
      <c r="G37" s="13" t="inlineStr">
        <is>
          <t>阿里资产</t>
        </is>
      </c>
      <c r="H37" s="13" t="inlineStr">
        <is>
          <t>二拍</t>
        </is>
      </c>
      <c r="I37" s="48" t="n">
        <v>46275.41666666666</v>
      </c>
      <c r="J37" s="13" t="inlineStr">
        <is>
          <t>即将开始</t>
        </is>
      </c>
      <c r="K37" s="13" t="inlineStr">
        <is>
          <t>连江县人民法院</t>
        </is>
      </c>
      <c r="L37" s="30" t="n">
        <v>84.51000000000001</v>
      </c>
      <c r="M37" s="33">
        <f>IF(AND(ISNUMBER(N37),ISNUMBER(L37),L37&gt;0),ROUND(N37/L37,2),"")</f>
        <v/>
      </c>
      <c r="N37" s="49" t="n">
        <v>135534.16</v>
      </c>
      <c r="O37" s="49" t="n">
        <v>242025.28</v>
      </c>
      <c r="P37" s="38">
        <f>IF(AND(ISNUMBER(N37),ISNUMBER(O37),O37&gt;0),N37/O37,"")</f>
        <v/>
      </c>
      <c r="Q37" s="20" t="inlineStr">
        <is>
          <t>40</t>
        </is>
      </c>
      <c r="R37" s="20" t="inlineStr">
        <is>
          <t>https://sf-item.taobao.com/sf_item/1079289208174.htm</t>
        </is>
      </c>
    </row>
    <row r="38">
      <c r="A38" s="13" t="inlineStr">
        <is>
          <t>福建省</t>
        </is>
      </c>
      <c r="B38" s="13" t="inlineStr">
        <is>
          <t>福州市</t>
        </is>
      </c>
      <c r="C38" s="13" t="inlineStr">
        <is>
          <t>连江县</t>
        </is>
      </c>
      <c r="D38" s="13" t="inlineStr">
        <is>
          <t>潘渡乡贵泉社区沿江南路6号华闽御山水庄园A2幢1605单元</t>
        </is>
      </c>
      <c r="E38" s="13" t="inlineStr">
        <is>
          <t>华闽御山水庄园</t>
        </is>
      </c>
      <c r="F38" s="13" t="inlineStr">
        <is>
          <t>住宅</t>
        </is>
      </c>
      <c r="G38" s="13" t="inlineStr">
        <is>
          <t>阿里资产</t>
        </is>
      </c>
      <c r="H38" s="13" t="inlineStr">
        <is>
          <t>二拍</t>
        </is>
      </c>
      <c r="I38" s="48" t="n">
        <v>46275.41666666666</v>
      </c>
      <c r="J38" s="13" t="inlineStr">
        <is>
          <t>即将开始</t>
        </is>
      </c>
      <c r="K38" s="13" t="inlineStr">
        <is>
          <t>连江县人民法院</t>
        </is>
      </c>
      <c r="L38" s="30" t="n">
        <v>84.79000000000001</v>
      </c>
      <c r="M38" s="33">
        <f>IF(AND(ISNUMBER(N38),ISNUMBER(L38),L38&gt;0),ROUND(N38/L38,2),"")</f>
        <v/>
      </c>
      <c r="N38" s="49" t="n">
        <v>124572.02</v>
      </c>
      <c r="O38" s="49" t="n">
        <v>155715.02</v>
      </c>
      <c r="P38" s="38">
        <f>IF(AND(ISNUMBER(N38),ISNUMBER(O38),O38&gt;0),N38/O38,"")</f>
        <v/>
      </c>
      <c r="Q38" s="20" t="inlineStr">
        <is>
          <t>40</t>
        </is>
      </c>
      <c r="R38" s="20" t="inlineStr">
        <is>
          <t>https://sf-item.taobao.com/sf_item/1079289752276.htm</t>
        </is>
      </c>
    </row>
    <row r="39">
      <c r="A39" s="13" t="inlineStr">
        <is>
          <t>福建省</t>
        </is>
      </c>
      <c r="B39" s="13" t="inlineStr">
        <is>
          <t>福州市</t>
        </is>
      </c>
      <c r="C39" s="13" t="inlineStr">
        <is>
          <t>连江县</t>
        </is>
      </c>
      <c r="D39" s="13" t="inlineStr">
        <is>
          <t>潘渡乡沿江大道1号贵安新天地贵尊苑（Za）区8幢1303单元</t>
        </is>
      </c>
      <c r="E39" s="13" t="inlineStr">
        <is>
          <t>贵安新天地贵尊苑</t>
        </is>
      </c>
      <c r="F39" s="13" t="inlineStr">
        <is>
          <t>住宅</t>
        </is>
      </c>
      <c r="G39" s="13" t="inlineStr">
        <is>
          <t>阿里资产</t>
        </is>
      </c>
      <c r="H39" s="13" t="inlineStr">
        <is>
          <t>二拍</t>
        </is>
      </c>
      <c r="I39" s="48" t="n">
        <v>46275.41666666666</v>
      </c>
      <c r="J39" s="13" t="inlineStr">
        <is>
          <t>即将开始</t>
        </is>
      </c>
      <c r="K39" s="13" t="inlineStr">
        <is>
          <t>连江县人民法院</t>
        </is>
      </c>
      <c r="L39" s="30" t="n">
        <v>76.73999999999999</v>
      </c>
      <c r="M39" s="33">
        <f>IF(AND(ISNUMBER(N39),ISNUMBER(L39),L39&gt;0),ROUND(N39/L39,2),"")</f>
        <v/>
      </c>
      <c r="N39" s="49" t="n">
        <v>167748</v>
      </c>
      <c r="O39" s="49" t="n">
        <v>262105.56</v>
      </c>
      <c r="P39" s="38">
        <f>IF(AND(ISNUMBER(N39),ISNUMBER(O39),O39&gt;0),N39/O39,"")</f>
        <v/>
      </c>
      <c r="Q39" s="20" t="inlineStr">
        <is>
          <t>40</t>
        </is>
      </c>
      <c r="R39" s="20" t="inlineStr">
        <is>
          <t>https://sf-item.taobao.com/sf_item/1079303268490.htm</t>
        </is>
      </c>
    </row>
    <row r="40">
      <c r="A40" s="13" t="inlineStr">
        <is>
          <t>福建省</t>
        </is>
      </c>
      <c r="B40" s="13" t="inlineStr">
        <is>
          <t>福州市</t>
        </is>
      </c>
      <c r="C40" s="13" t="inlineStr">
        <is>
          <t>罗源县</t>
        </is>
      </c>
      <c r="D40" s="13" t="inlineStr">
        <is>
          <t>凤山镇东外路12号蓝波湾小区4#楼903单元</t>
        </is>
      </c>
      <c r="E40" s="13" t="inlineStr">
        <is>
          <t>蓝波湾</t>
        </is>
      </c>
      <c r="F40" s="13" t="inlineStr">
        <is>
          <t>住宅</t>
        </is>
      </c>
      <c r="G40" s="13" t="inlineStr">
        <is>
          <t>阿里资产</t>
        </is>
      </c>
      <c r="H40" s="13" t="inlineStr">
        <is>
          <t>一拍</t>
        </is>
      </c>
      <c r="I40" s="48" t="n">
        <v>46292.41666666666</v>
      </c>
      <c r="J40" s="13" t="inlineStr">
        <is>
          <t>即将开始</t>
        </is>
      </c>
      <c r="K40" s="13" t="inlineStr">
        <is>
          <t>宁德市蕉城区人民法院</t>
        </is>
      </c>
      <c r="L40" s="30" t="n">
        <v>128.83</v>
      </c>
      <c r="M40" s="33">
        <f>IF(AND(ISNUMBER(N40),ISNUMBER(L40),L40&gt;0),ROUND(N40/L40,2),"")</f>
        <v/>
      </c>
      <c r="N40" s="49" t="n">
        <v>65.90000000000001</v>
      </c>
      <c r="O40" s="49" t="n">
        <v>940459</v>
      </c>
      <c r="P40" s="38">
        <f>IF(AND(ISNUMBER(N40),ISNUMBER(O40),O40&gt;0),N40/O40,"")</f>
        <v/>
      </c>
      <c r="Q40" s="13" t="inlineStr">
        <is>
          <t>数据疑似有误：起拍单价约1元/㎡，超出500—100000元/㎡常规核验区间</t>
        </is>
      </c>
      <c r="R40" s="20" t="inlineStr">
        <is>
          <t>https://sf-item.taobao.com/sf_item/1076408703955.htm</t>
        </is>
      </c>
    </row>
    <row r="41">
      <c r="A41" s="13" t="inlineStr">
        <is>
          <t>福建省</t>
        </is>
      </c>
      <c r="B41" s="13" t="inlineStr">
        <is>
          <t>福州市</t>
        </is>
      </c>
      <c r="C41" s="13" t="inlineStr">
        <is>
          <t>罗源县</t>
        </is>
      </c>
      <c r="D41" s="13" t="inlineStr">
        <is>
          <t>凤山镇司前新村9#楼501室及杂物间</t>
        </is>
      </c>
      <c r="E41" s="13" t="inlineStr">
        <is>
          <t>司前新村</t>
        </is>
      </c>
      <c r="F41" s="13" t="inlineStr">
        <is>
          <t>住宅</t>
        </is>
      </c>
      <c r="G41" s="13" t="inlineStr">
        <is>
          <t>阿里资产</t>
        </is>
      </c>
      <c r="H41" s="13" t="inlineStr">
        <is>
          <t>变卖</t>
        </is>
      </c>
      <c r="I41" s="48" t="n">
        <v>46277.41666666666</v>
      </c>
      <c r="J41" s="13" t="inlineStr">
        <is>
          <t>即将开始</t>
        </is>
      </c>
      <c r="K41" s="13" t="inlineStr">
        <is>
          <t>罗源县人民法院</t>
        </is>
      </c>
      <c r="L41" s="29" t="n">
        <v>76.8</v>
      </c>
      <c r="M41" s="33">
        <f>IF(AND(ISNUMBER(N41),ISNUMBER(L41),L41&gt;0),ROUND(N41/L41,2),"")</f>
        <v/>
      </c>
      <c r="N41" s="49" t="n">
        <v>171319.5</v>
      </c>
      <c r="O41" s="49" t="n">
        <v>267686.8</v>
      </c>
      <c r="P41" s="38">
        <f>IF(AND(ISNUMBER(N41),ISNUMBER(O41),O41&gt;0),N41/O41,"")</f>
        <v/>
      </c>
      <c r="Q41" s="13" t="inlineStr">
        <is>
          <t>未找到评估报告</t>
        </is>
      </c>
      <c r="R41" s="20" t="inlineStr">
        <is>
          <t>https://sf-item.taobao.com/sf_item/1076844007468.htm</t>
        </is>
      </c>
    </row>
    <row r="42">
      <c r="A42" s="13" t="inlineStr">
        <is>
          <t>福建省</t>
        </is>
      </c>
      <c r="B42" s="13" t="inlineStr">
        <is>
          <t>福州市</t>
        </is>
      </c>
      <c r="C42" s="13" t="inlineStr">
        <is>
          <t>罗源县</t>
        </is>
      </c>
      <c r="D42" s="13" t="inlineStr">
        <is>
          <t>松山镇松岐路1号罗源湾滨海新城罗昌苑10# 楼101单元</t>
        </is>
      </c>
      <c r="E42" s="13" t="inlineStr">
        <is>
          <t>罗源湾滨海新城罗昌苑</t>
        </is>
      </c>
      <c r="F42" s="13" t="inlineStr">
        <is>
          <t>住宅</t>
        </is>
      </c>
      <c r="G42" s="13" t="inlineStr">
        <is>
          <t>阿里资产</t>
        </is>
      </c>
      <c r="H42" s="13" t="inlineStr">
        <is>
          <t>变卖</t>
        </is>
      </c>
      <c r="I42" s="48" t="n">
        <v>46276.41666666666</v>
      </c>
      <c r="J42" s="13" t="inlineStr">
        <is>
          <t>即将开始</t>
        </is>
      </c>
      <c r="K42" s="13" t="inlineStr">
        <is>
          <t>罗源县人民法院</t>
        </is>
      </c>
      <c r="L42" s="30" t="n">
        <v>120.24</v>
      </c>
      <c r="M42" s="33">
        <f>IF(AND(ISNUMBER(N42),ISNUMBER(L42),L42&gt;0),ROUND(N42/L42,2),"")</f>
        <v/>
      </c>
      <c r="N42" s="49" t="n">
        <v>299855.9</v>
      </c>
      <c r="O42" s="49" t="n">
        <v>468524.89</v>
      </c>
      <c r="P42" s="38">
        <f>IF(AND(ISNUMBER(N42),ISNUMBER(O42),O42&gt;0),N42/O42,"")</f>
        <v/>
      </c>
      <c r="Q42" s="13" t="inlineStr">
        <is>
          <t>户型：3室2厅</t>
        </is>
      </c>
      <c r="R42" s="20" t="inlineStr">
        <is>
          <t>https://sf-item.taobao.com/sf_item/1076638111791.htm</t>
        </is>
      </c>
    </row>
    <row r="43">
      <c r="A43" s="13" t="inlineStr">
        <is>
          <t>福建省</t>
        </is>
      </c>
      <c r="B43" s="13" t="inlineStr">
        <is>
          <t>福州市</t>
        </is>
      </c>
      <c r="C43" s="13" t="inlineStr">
        <is>
          <t>马尾区</t>
        </is>
      </c>
      <c r="D43" s="13" t="inlineStr">
        <is>
          <t>亭江镇闽亭村康庄路168号荣泰小区（悦江湾）2#楼302单元</t>
        </is>
      </c>
      <c r="E43" s="13" t="inlineStr">
        <is>
          <t>荣泰小区（悦江湾）</t>
        </is>
      </c>
      <c r="F43" s="13" t="inlineStr">
        <is>
          <t>住宅</t>
        </is>
      </c>
      <c r="G43" s="13" t="inlineStr">
        <is>
          <t>阿里资产</t>
        </is>
      </c>
      <c r="H43" s="13" t="inlineStr">
        <is>
          <t>一拍</t>
        </is>
      </c>
      <c r="I43" s="48" t="n">
        <v>46293.41666666666</v>
      </c>
      <c r="J43" s="13" t="inlineStr">
        <is>
          <t>即将开始</t>
        </is>
      </c>
      <c r="K43" s="13" t="inlineStr">
        <is>
          <t>福州市鼓楼区人民法院</t>
        </is>
      </c>
      <c r="L43" s="30" t="n">
        <v>88.04000000000001</v>
      </c>
      <c r="M43" s="33">
        <f>IF(AND(ISNUMBER(N43),ISNUMBER(L43),L43&gt;0),ROUND(N43/L43,2),"")</f>
        <v/>
      </c>
      <c r="N43" s="49" t="n">
        <v>260000</v>
      </c>
      <c r="O43" s="49" t="n">
        <v>366422.48</v>
      </c>
      <c r="P43" s="38">
        <f>IF(AND(ISNUMBER(N43),ISNUMBER(O43),O43&gt;0),N43/O43,"")</f>
        <v/>
      </c>
      <c r="Q43" s="13" t="inlineStr">
        <is>
          <t>户型：3室1厅</t>
        </is>
      </c>
      <c r="R43" s="20" t="inlineStr">
        <is>
          <t>https://sf-item.taobao.com/sf_item/1077416606078.htm</t>
        </is>
      </c>
    </row>
    <row r="44">
      <c r="A44" s="13" t="inlineStr">
        <is>
          <t>福建省</t>
        </is>
      </c>
      <c r="B44" s="13" t="inlineStr">
        <is>
          <t>福州市</t>
        </is>
      </c>
      <c r="C44" s="13" t="inlineStr">
        <is>
          <t>闽侯县</t>
        </is>
      </c>
      <c r="D44" s="13" t="inlineStr">
        <is>
          <t>南屿镇旗山路3号旗山文城三期2#楼1604单元</t>
        </is>
      </c>
      <c r="E44" s="13" t="inlineStr">
        <is>
          <t>旗山文城</t>
        </is>
      </c>
      <c r="F44" s="13" t="inlineStr">
        <is>
          <t>住宅</t>
        </is>
      </c>
      <c r="G44" s="13" t="inlineStr">
        <is>
          <t>阿里资产</t>
        </is>
      </c>
      <c r="H44" s="13" t="inlineStr">
        <is>
          <t>一拍</t>
        </is>
      </c>
      <c r="I44" s="48" t="n">
        <v>46294.41666666666</v>
      </c>
      <c r="J44" s="13" t="inlineStr">
        <is>
          <t>即将开始</t>
        </is>
      </c>
      <c r="K44" s="13" t="inlineStr">
        <is>
          <t>福州市鼓楼区人民法院</t>
        </is>
      </c>
      <c r="L44" s="30" t="n">
        <v>78.78</v>
      </c>
      <c r="M44" s="33">
        <f>IF(AND(ISNUMBER(N44),ISNUMBER(L44),L44&gt;0),ROUND(N44/L44,2),"")</f>
        <v/>
      </c>
      <c r="N44" s="49" t="n">
        <v>500000</v>
      </c>
      <c r="O44" s="49" t="n">
        <v>709218</v>
      </c>
      <c r="P44" s="38">
        <f>IF(AND(ISNUMBER(N44),ISNUMBER(O44),O44&gt;0),N44/O44,"")</f>
        <v/>
      </c>
      <c r="Q44" s="13" t="inlineStr">
        <is>
          <t>户型：3室1厅</t>
        </is>
      </c>
      <c r="R44" s="20" t="inlineStr">
        <is>
          <t>https://sf-item.taobao.com/sf_item/1077415826402.htm</t>
        </is>
      </c>
    </row>
    <row r="45">
      <c r="A45" s="13" t="inlineStr">
        <is>
          <t>福建省</t>
        </is>
      </c>
      <c r="B45" s="13" t="inlineStr">
        <is>
          <t>福州市</t>
        </is>
      </c>
      <c r="C45" s="13" t="inlineStr">
        <is>
          <t>闽侯县</t>
        </is>
      </c>
      <c r="D45" s="13" t="inlineStr">
        <is>
          <t>青口镇新城路62号博雅星城21#楼203单元</t>
        </is>
      </c>
      <c r="E45" s="13" t="inlineStr">
        <is>
          <t>博雅星城</t>
        </is>
      </c>
      <c r="F45" s="13" t="inlineStr">
        <is>
          <t>住宅</t>
        </is>
      </c>
      <c r="G45" s="13" t="inlineStr">
        <is>
          <t>阿里资产</t>
        </is>
      </c>
      <c r="H45" s="13" t="inlineStr">
        <is>
          <t>一拍</t>
        </is>
      </c>
      <c r="I45" s="48" t="n">
        <v>46294.41666666666</v>
      </c>
      <c r="J45" s="13" t="inlineStr">
        <is>
          <t>即将开始</t>
        </is>
      </c>
      <c r="K45" s="13" t="inlineStr">
        <is>
          <t>福州市鼓楼区人民法院</t>
        </is>
      </c>
      <c r="L45" s="30" t="n">
        <v>120.35</v>
      </c>
      <c r="M45" s="33">
        <f>IF(AND(ISNUMBER(N45),ISNUMBER(L45),L45&gt;0),ROUND(N45/L45,2),"")</f>
        <v/>
      </c>
      <c r="N45" s="49" t="n">
        <v>590000</v>
      </c>
      <c r="O45" s="49" t="n">
        <v>835449.3</v>
      </c>
      <c r="P45" s="38">
        <f>IF(AND(ISNUMBER(N45),ISNUMBER(O45),O45&gt;0),N45/O45,"")</f>
        <v/>
      </c>
      <c r="Q45" s="13" t="inlineStr">
        <is>
          <t>户型：3室1厅</t>
        </is>
      </c>
      <c r="R45" s="20" t="inlineStr">
        <is>
          <t>https://sf-item.taobao.com/sf_item/1077426546716.htm</t>
        </is>
      </c>
    </row>
    <row r="46">
      <c r="A46" s="13" t="inlineStr">
        <is>
          <t>福建省</t>
        </is>
      </c>
      <c r="B46" s="13" t="inlineStr">
        <is>
          <t>福州市</t>
        </is>
      </c>
      <c r="C46" s="13" t="inlineStr">
        <is>
          <t>闽侯县</t>
        </is>
      </c>
      <c r="D46" s="13" t="inlineStr">
        <is>
          <t>青口镇壶山村新南公寓2# 楼306单元</t>
        </is>
      </c>
      <c r="E46" s="13" t="inlineStr">
        <is>
          <t>新南公寓</t>
        </is>
      </c>
      <c r="F46" s="13" t="inlineStr">
        <is>
          <t>住宅</t>
        </is>
      </c>
      <c r="G46" s="13" t="inlineStr">
        <is>
          <t>阿里资产</t>
        </is>
      </c>
      <c r="H46" s="13" t="inlineStr">
        <is>
          <t>一拍</t>
        </is>
      </c>
      <c r="I46" s="48" t="n">
        <v>46292.41666666666</v>
      </c>
      <c r="J46" s="13" t="inlineStr">
        <is>
          <t>即将开始</t>
        </is>
      </c>
      <c r="K46" s="13" t="inlineStr">
        <is>
          <t>福州市台江区人民法院</t>
        </is>
      </c>
      <c r="L46" s="30" t="n">
        <v>112.82</v>
      </c>
      <c r="M46" s="33">
        <f>IF(AND(ISNUMBER(N46),ISNUMBER(L46),L46&gt;0),ROUND(N46/L46,2),"")</f>
        <v/>
      </c>
      <c r="N46" s="49" t="n">
        <v>379491</v>
      </c>
      <c r="O46" s="49" t="n">
        <v>542130</v>
      </c>
      <c r="P46" s="38">
        <f>IF(AND(ISNUMBER(N46),ISNUMBER(O46),O46&gt;0),N46/O46,"")</f>
        <v/>
      </c>
      <c r="Q46" s="13" t="inlineStr">
        <is>
          <t>户型：2室2厅</t>
        </is>
      </c>
      <c r="R46" s="20" t="inlineStr">
        <is>
          <t>https://sf-item.taobao.com/sf_item/1076661919319.htm</t>
        </is>
      </c>
    </row>
    <row r="47">
      <c r="A47" s="13" t="inlineStr">
        <is>
          <t>福建省</t>
        </is>
      </c>
      <c r="B47" s="13" t="inlineStr">
        <is>
          <t>福州市</t>
        </is>
      </c>
      <c r="C47" s="13" t="inlineStr">
        <is>
          <t>闽侯县</t>
        </is>
      </c>
      <c r="D47" s="13" t="inlineStr">
        <is>
          <t>上街镇高新大道99-2号福州高新区马排安置房（溪源花园）一期7#楼903单元</t>
        </is>
      </c>
      <c r="E47" s="13" t="inlineStr">
        <is>
          <t>溪源花园</t>
        </is>
      </c>
      <c r="F47" s="13" t="inlineStr">
        <is>
          <t>住宅</t>
        </is>
      </c>
      <c r="G47" s="13" t="inlineStr">
        <is>
          <t>阿里资产</t>
        </is>
      </c>
      <c r="H47" s="13" t="inlineStr">
        <is>
          <t>一拍</t>
        </is>
      </c>
      <c r="I47" s="48" t="n">
        <v>46292.41666666666</v>
      </c>
      <c r="J47" s="13" t="inlineStr">
        <is>
          <t>即将开始</t>
        </is>
      </c>
      <c r="K47" s="13" t="inlineStr">
        <is>
          <t>福州市台江区人民法院</t>
        </is>
      </c>
      <c r="L47" s="30" t="n">
        <v>93.20999999999999</v>
      </c>
      <c r="M47" s="33">
        <f>IF(AND(ISNUMBER(N47),ISNUMBER(L47),L47&gt;0),ROUND(N47/L47,2),"")</f>
        <v/>
      </c>
      <c r="N47" s="49" t="n">
        <v>495878</v>
      </c>
      <c r="O47" s="49" t="n">
        <v>708396</v>
      </c>
      <c r="P47" s="38">
        <f>IF(AND(ISNUMBER(N47),ISNUMBER(O47),O47&gt;0),N47/O47,"")</f>
        <v/>
      </c>
      <c r="Q47" s="20" t="inlineStr">
        <is>
          <t>40</t>
        </is>
      </c>
      <c r="R47" s="20" t="inlineStr">
        <is>
          <t>https://sf-item.taobao.com/sf_item/1076680687290.htm</t>
        </is>
      </c>
    </row>
    <row r="48">
      <c r="A48" s="13" t="inlineStr">
        <is>
          <t>福建省</t>
        </is>
      </c>
      <c r="B48" s="13" t="inlineStr">
        <is>
          <t>福州市</t>
        </is>
      </c>
      <c r="C48" s="13" t="inlineStr">
        <is>
          <t>闽侯县</t>
        </is>
      </c>
      <c r="D48" s="13" t="inlineStr">
        <is>
          <t>甘蔗街道滨江西大道77号正荣润园3#楼504单元</t>
        </is>
      </c>
      <c r="E48" s="13" t="inlineStr">
        <is>
          <t>正荣润园</t>
        </is>
      </c>
      <c r="F48" s="13" t="inlineStr">
        <is>
          <t>住宅</t>
        </is>
      </c>
      <c r="G48" s="13" t="inlineStr">
        <is>
          <t>阿里资产</t>
        </is>
      </c>
      <c r="H48" s="13" t="inlineStr">
        <is>
          <t>一拍</t>
        </is>
      </c>
      <c r="I48" s="48" t="n">
        <v>46292.41666666666</v>
      </c>
      <c r="J48" s="13" t="inlineStr">
        <is>
          <t>即将开始</t>
        </is>
      </c>
      <c r="K48" s="13" t="inlineStr">
        <is>
          <t>闽侯县人民法院</t>
        </is>
      </c>
      <c r="L48" s="30" t="n">
        <v>101.25</v>
      </c>
      <c r="M48" s="33">
        <f>IF(AND(ISNUMBER(N48),ISNUMBER(L48),L48&gt;0),ROUND(N48/L48,2),"")</f>
        <v/>
      </c>
      <c r="N48" s="49" t="n">
        <v>650000</v>
      </c>
      <c r="O48" s="49" t="n">
        <v>925000</v>
      </c>
      <c r="P48" s="38">
        <f>IF(AND(ISNUMBER(N48),ISNUMBER(O48),O48&gt;0),N48/O48,"")</f>
        <v/>
      </c>
      <c r="Q48" s="13" t="inlineStr">
        <is>
          <t>户型：3室2厅</t>
        </is>
      </c>
      <c r="R48" s="20" t="inlineStr">
        <is>
          <t>https://sf-item.taobao.com/sf_item/1077413222614.htm</t>
        </is>
      </c>
    </row>
    <row r="49">
      <c r="A49" s="13" t="inlineStr">
        <is>
          <t>福建省</t>
        </is>
      </c>
      <c r="B49" s="13" t="inlineStr">
        <is>
          <t>福州市</t>
        </is>
      </c>
      <c r="C49" s="13" t="inlineStr">
        <is>
          <t>闽侯县</t>
        </is>
      </c>
      <c r="D49" s="13" t="inlineStr">
        <is>
          <t>尚干镇新榕路3号海峡汽车文化广场汽车用品市场6#商住楼417单元</t>
        </is>
      </c>
      <c r="E49" s="13" t="inlineStr">
        <is>
          <t>海峡汽车文化广场汽车用品市场</t>
        </is>
      </c>
      <c r="F49" s="13" t="inlineStr">
        <is>
          <t>住宅</t>
        </is>
      </c>
      <c r="G49" s="13" t="inlineStr">
        <is>
          <t>阿里资产</t>
        </is>
      </c>
      <c r="H49" s="13" t="inlineStr">
        <is>
          <t>一拍</t>
        </is>
      </c>
      <c r="I49" s="48" t="n">
        <v>46291.41666666666</v>
      </c>
      <c r="J49" s="13" t="inlineStr">
        <is>
          <t>即将开始</t>
        </is>
      </c>
      <c r="K49" s="13" t="inlineStr">
        <is>
          <t>闽侯县人民法院</t>
        </is>
      </c>
      <c r="L49" s="30" t="n">
        <v>51.47</v>
      </c>
      <c r="M49" s="33">
        <f>IF(AND(ISNUMBER(N49),ISNUMBER(L49),L49&gt;0),ROUND(N49/L49,2),"")</f>
        <v/>
      </c>
      <c r="N49" s="49" t="n">
        <v>180000</v>
      </c>
      <c r="O49" s="49" t="n">
        <v>256700</v>
      </c>
      <c r="P49" s="38">
        <f>IF(AND(ISNUMBER(N49),ISNUMBER(O49),O49&gt;0),N49/O49,"")</f>
        <v/>
      </c>
      <c r="Q49" s="13" t="inlineStr">
        <is>
          <t>户型：1室1厅</t>
        </is>
      </c>
      <c r="R49" s="20" t="inlineStr">
        <is>
          <t>https://sf-item.taobao.com/sf_item/1077256502288.htm</t>
        </is>
      </c>
    </row>
    <row r="50">
      <c r="A50" s="13" t="inlineStr">
        <is>
          <t>福建省</t>
        </is>
      </c>
      <c r="B50" s="13" t="inlineStr">
        <is>
          <t>福州市</t>
        </is>
      </c>
      <c r="C50" s="13" t="inlineStr">
        <is>
          <t>闽清县</t>
        </is>
      </c>
      <c r="D50" s="13" t="inlineStr">
        <is>
          <t>云龙乡台鼎村云龙街27号城镇花园A#楼501单元</t>
        </is>
      </c>
      <c r="E50" s="13" t="inlineStr">
        <is>
          <t>城镇花园</t>
        </is>
      </c>
      <c r="F50" s="13" t="inlineStr">
        <is>
          <t>住宅</t>
        </is>
      </c>
      <c r="G50" s="13" t="inlineStr">
        <is>
          <t>阿里资产</t>
        </is>
      </c>
      <c r="H50" s="13" t="inlineStr">
        <is>
          <t>一拍</t>
        </is>
      </c>
      <c r="I50" s="48" t="n">
        <v>46290.41666666666</v>
      </c>
      <c r="J50" s="13" t="inlineStr">
        <is>
          <t>即将开始</t>
        </is>
      </c>
      <c r="K50" s="13" t="inlineStr">
        <is>
          <t>罗源县人民法院</t>
        </is>
      </c>
      <c r="L50" s="30" t="n">
        <v>115.52</v>
      </c>
      <c r="M50" s="33">
        <f>IF(AND(ISNUMBER(N50),ISNUMBER(L50),L50&gt;0),ROUND(N50/L50,2),"")</f>
        <v/>
      </c>
      <c r="N50" s="49" t="n">
        <v>327863.33</v>
      </c>
      <c r="O50" s="49" t="n">
        <v>468376.18</v>
      </c>
      <c r="P50" s="38">
        <f>IF(AND(ISNUMBER(N50),ISNUMBER(O50),O50&gt;0),N50/O50,"")</f>
        <v/>
      </c>
      <c r="Q50" s="13" t="inlineStr">
        <is>
          <t>户型：3室2厅</t>
        </is>
      </c>
      <c r="R50" s="20" t="inlineStr">
        <is>
          <t>https://sf-item.taobao.com/sf_item/1078288705653.htm</t>
        </is>
      </c>
    </row>
    <row r="51">
      <c r="A51" s="13" t="inlineStr">
        <is>
          <t>福建省</t>
        </is>
      </c>
      <c r="B51" s="13" t="inlineStr">
        <is>
          <t>福州市</t>
        </is>
      </c>
      <c r="C51" s="13" t="inlineStr">
        <is>
          <t>平潭县</t>
        </is>
      </c>
      <c r="D51" s="13" t="inlineStr">
        <is>
          <t>南屿镇乌龙江南大道89号顺华世纪鸥洲B区3#楼3106复式单元</t>
        </is>
      </c>
      <c r="E51" s="13" t="inlineStr">
        <is>
          <t>顺华世纪鸥洲B区</t>
        </is>
      </c>
      <c r="F51" s="13" t="inlineStr">
        <is>
          <t>住宅</t>
        </is>
      </c>
      <c r="G51" s="13" t="inlineStr">
        <is>
          <t>阿里资产</t>
        </is>
      </c>
      <c r="H51" s="13" t="inlineStr">
        <is>
          <t>二拍</t>
        </is>
      </c>
      <c r="I51" s="48" t="n">
        <v>46277.41666666666</v>
      </c>
      <c r="J51" s="13" t="inlineStr">
        <is>
          <t>即将开始</t>
        </is>
      </c>
      <c r="K51" s="13" t="inlineStr">
        <is>
          <t>平潭县人民法院</t>
        </is>
      </c>
      <c r="L51" s="30" t="n">
        <v>228.2</v>
      </c>
      <c r="M51" s="33">
        <f>IF(AND(ISNUMBER(N51),ISNUMBER(L51),L51&gt;0),ROUND(N51/L51,2),"")</f>
        <v/>
      </c>
      <c r="N51" s="49" t="n">
        <v>1633032</v>
      </c>
      <c r="O51" s="49" t="n">
        <v>2268100</v>
      </c>
      <c r="P51" s="38">
        <f>IF(AND(ISNUMBER(N51),ISNUMBER(O51),O51&gt;0),N51/O51,"")</f>
        <v/>
      </c>
      <c r="Q51" s="20" t="inlineStr">
        <is>
          <t>40</t>
        </is>
      </c>
      <c r="R51" s="20" t="inlineStr">
        <is>
          <t>https://sf-item.taobao.com/sf_item/1076663795695.htm</t>
        </is>
      </c>
    </row>
    <row r="52">
      <c r="A52" s="13" t="inlineStr">
        <is>
          <t>福建省</t>
        </is>
      </c>
      <c r="B52" s="13" t="inlineStr">
        <is>
          <t>福州市</t>
        </is>
      </c>
      <c r="C52" s="13" t="inlineStr">
        <is>
          <t>平潭县</t>
        </is>
      </c>
      <c r="D52" s="13" t="inlineStr">
        <is>
          <t>潭城镇龙凤路南侧、东环路东侧平潭滨海国际度假区4#101-103、103A、201-203、203A、205-210、1113室的房产</t>
        </is>
      </c>
      <c r="E52" s="13" t="inlineStr">
        <is>
          <t>平潭滨海国际度假区</t>
        </is>
      </c>
      <c r="F52" s="13" t="inlineStr">
        <is>
          <t>商业</t>
        </is>
      </c>
      <c r="G52" s="13" t="inlineStr">
        <is>
          <t>阿里资产</t>
        </is>
      </c>
      <c r="H52" s="13" t="inlineStr">
        <is>
          <t>二拍</t>
        </is>
      </c>
      <c r="I52" s="48" t="n">
        <v>46276.41666666666</v>
      </c>
      <c r="J52" s="13" t="inlineStr">
        <is>
          <t>即将开始</t>
        </is>
      </c>
      <c r="K52" s="13" t="inlineStr">
        <is>
          <t>福建省福州市中级人民法院</t>
        </is>
      </c>
      <c r="L52" s="29" t="n">
        <v>2290.86</v>
      </c>
      <c r="M52" s="33">
        <f>IF(AND(ISNUMBER(N52),ISNUMBER(L52),L52&gt;0),ROUND(N52/L52,2),"")</f>
        <v/>
      </c>
      <c r="N52" s="49" t="n">
        <v>22507688</v>
      </c>
      <c r="O52" s="49" t="n">
        <v>40192300</v>
      </c>
      <c r="P52" s="38">
        <f>IF(AND(ISNUMBER(N52),ISNUMBER(O52),O52&gt;0),N52/O52,"")</f>
        <v/>
      </c>
      <c r="Q52" s="13" t="inlineStr">
        <is>
          <t>未找到评估报告</t>
        </is>
      </c>
      <c r="R52" s="20" t="inlineStr">
        <is>
          <t>https://sf-item.taobao.com/sf_item/1078474725606.htm</t>
        </is>
      </c>
    </row>
    <row r="53">
      <c r="A53" s="13" t="inlineStr">
        <is>
          <t>福建省</t>
        </is>
      </c>
      <c r="B53" s="13" t="inlineStr">
        <is>
          <t>福州市</t>
        </is>
      </c>
      <c r="C53" s="13" t="inlineStr">
        <is>
          <t>平潭县</t>
        </is>
      </c>
      <c r="D53" s="13" t="inlineStr">
        <is>
          <t>潭城镇龙凤路南侧、东环路东侧平潭滨海国际度假区1#203、208-210、212、213A、215、218-219室的房产</t>
        </is>
      </c>
      <c r="E53" s="13" t="inlineStr">
        <is>
          <t>平潭滨海国际度假区</t>
        </is>
      </c>
      <c r="F53" s="13" t="inlineStr">
        <is>
          <t>商业</t>
        </is>
      </c>
      <c r="G53" s="13" t="inlineStr">
        <is>
          <t>阿里资产</t>
        </is>
      </c>
      <c r="H53" s="13" t="inlineStr">
        <is>
          <t>二拍</t>
        </is>
      </c>
      <c r="I53" s="48" t="n">
        <v>46276.41666666666</v>
      </c>
      <c r="J53" s="13" t="inlineStr">
        <is>
          <t>即将开始</t>
        </is>
      </c>
      <c r="K53" s="13" t="inlineStr">
        <is>
          <t>福建省福州市中级人民法院</t>
        </is>
      </c>
      <c r="L53" s="29" t="n">
        <v>604.76</v>
      </c>
      <c r="M53" s="33">
        <f>IF(AND(ISNUMBER(N53),ISNUMBER(L53),L53&gt;0),ROUND(N53/L53,2),"")</f>
        <v/>
      </c>
      <c r="N53" s="49" t="n">
        <v>5004440</v>
      </c>
      <c r="O53" s="49" t="n">
        <v>8936500</v>
      </c>
      <c r="P53" s="38">
        <f>IF(AND(ISNUMBER(N53),ISNUMBER(O53),O53&gt;0),N53/O53,"")</f>
        <v/>
      </c>
      <c r="Q53" s="13" t="inlineStr">
        <is>
          <t>未找到评估报告</t>
        </is>
      </c>
      <c r="R53" s="20" t="inlineStr">
        <is>
          <t>https://sf-item.taobao.com/sf_item/1079477412703.htm</t>
        </is>
      </c>
    </row>
    <row r="54">
      <c r="A54" s="13" t="inlineStr">
        <is>
          <t>福建省</t>
        </is>
      </c>
      <c r="B54" s="13" t="inlineStr">
        <is>
          <t>福州市</t>
        </is>
      </c>
      <c r="C54" s="13" t="inlineStr">
        <is>
          <t>台江区</t>
        </is>
      </c>
      <c r="D54" s="13" t="inlineStr">
        <is>
          <t>鳌峰街道亚峰新村31座608单元、1层16附属间</t>
        </is>
      </c>
      <c r="E54" s="13" t="inlineStr">
        <is>
          <t>亚峰新村</t>
        </is>
      </c>
      <c r="F54" s="13" t="inlineStr">
        <is>
          <t>住宅</t>
        </is>
      </c>
      <c r="G54" s="13" t="inlineStr">
        <is>
          <t>阿里资产</t>
        </is>
      </c>
      <c r="H54" s="13" t="inlineStr">
        <is>
          <t>一拍</t>
        </is>
      </c>
      <c r="I54" s="48" t="n">
        <v>46294.41666666666</v>
      </c>
      <c r="J54" s="13" t="inlineStr">
        <is>
          <t>即将开始</t>
        </is>
      </c>
      <c r="K54" s="13" t="inlineStr">
        <is>
          <t>福州市鼓楼区人民法院</t>
        </is>
      </c>
      <c r="L54" s="30" t="n">
        <v>71.12</v>
      </c>
      <c r="M54" s="33">
        <f>IF(AND(ISNUMBER(N54),ISNUMBER(L54),L54&gt;0),ROUND(N54/L54,2),"")</f>
        <v/>
      </c>
      <c r="N54" s="49" t="n">
        <v>510000</v>
      </c>
      <c r="O54" s="49" t="n">
        <v>715781.27</v>
      </c>
      <c r="P54" s="38">
        <f>IF(AND(ISNUMBER(N54),ISNUMBER(O54),O54&gt;0),N54/O54,"")</f>
        <v/>
      </c>
      <c r="Q54" s="13" t="inlineStr">
        <is>
          <t>户型：2室1厅</t>
        </is>
      </c>
      <c r="R54" s="20" t="inlineStr">
        <is>
          <t>https://sf-item.taobao.com/sf_item/1076571095893.htm</t>
        </is>
      </c>
    </row>
    <row r="55">
      <c r="A55" s="13" t="inlineStr">
        <is>
          <t>福建省</t>
        </is>
      </c>
      <c r="B55" s="13" t="inlineStr">
        <is>
          <t>福州市</t>
        </is>
      </c>
      <c r="C55" s="13" t="inlineStr">
        <is>
          <t>台江区</t>
        </is>
      </c>
      <c r="D55" s="13" t="inlineStr">
        <is>
          <t>后洲街道玉环路10号中亭街改造利生苑3#楼105单元</t>
        </is>
      </c>
      <c r="E55" s="13" t="inlineStr">
        <is>
          <t>中亭街改造利生苑</t>
        </is>
      </c>
      <c r="F55" s="13" t="inlineStr">
        <is>
          <t>住宅</t>
        </is>
      </c>
      <c r="G55" s="13" t="inlineStr">
        <is>
          <t>阿里资产</t>
        </is>
      </c>
      <c r="H55" s="13" t="inlineStr">
        <is>
          <t>一拍</t>
        </is>
      </c>
      <c r="I55" s="48" t="n">
        <v>46292.41666666666</v>
      </c>
      <c r="J55" s="13" t="inlineStr">
        <is>
          <t>即将开始</t>
        </is>
      </c>
      <c r="K55" s="13" t="inlineStr">
        <is>
          <t>福州市台江区人民法院</t>
        </is>
      </c>
      <c r="L55" s="30" t="n">
        <v>104.73</v>
      </c>
      <c r="M55" s="33">
        <f>IF(AND(ISNUMBER(N55),ISNUMBER(L55),L55&gt;0),ROUND(N55/L55,2),"")</f>
        <v/>
      </c>
      <c r="N55" s="49" t="n">
        <v>916387.5</v>
      </c>
      <c r="O55" s="49" t="n">
        <v>1309125</v>
      </c>
      <c r="P55" s="38">
        <f>IF(AND(ISNUMBER(N55),ISNUMBER(O55),O55&gt;0),N55/O55,"")</f>
        <v/>
      </c>
      <c r="Q55" s="20" t="inlineStr">
        <is>
          <t>40</t>
        </is>
      </c>
      <c r="R55" s="20" t="inlineStr">
        <is>
          <t>https://sf-item.taobao.com/sf_item/1077266954953.htm</t>
        </is>
      </c>
    </row>
    <row r="56">
      <c r="A56" s="13" t="inlineStr">
        <is>
          <t>福建省</t>
        </is>
      </c>
      <c r="B56" s="13" t="inlineStr">
        <is>
          <t>福州市</t>
        </is>
      </c>
      <c r="C56" s="13" t="inlineStr">
        <is>
          <t>台江区</t>
        </is>
      </c>
      <c r="D56" s="13" t="inlineStr">
        <is>
          <t>鳌峰街道亚兴路50号亚峰新区7#楼403单元及7#楼2层69附属间房产</t>
        </is>
      </c>
      <c r="E56" s="13" t="inlineStr">
        <is>
          <t>亚峰新区</t>
        </is>
      </c>
      <c r="F56" s="13" t="inlineStr">
        <is>
          <t>住宅</t>
        </is>
      </c>
      <c r="G56" s="13" t="inlineStr">
        <is>
          <t>阿里资产</t>
        </is>
      </c>
      <c r="H56" s="13" t="inlineStr">
        <is>
          <t>一拍</t>
        </is>
      </c>
      <c r="I56" s="48" t="n">
        <v>46291.41666666666</v>
      </c>
      <c r="J56" s="13" t="inlineStr">
        <is>
          <t>即将开始</t>
        </is>
      </c>
      <c r="K56" s="13" t="inlineStr">
        <is>
          <t>闽侯县人民法院</t>
        </is>
      </c>
      <c r="L56" s="30" t="n">
        <v>48.08</v>
      </c>
      <c r="M56" s="33">
        <f>IF(AND(ISNUMBER(N56),ISNUMBER(L56),L56&gt;0),ROUND(N56/L56,2),"")</f>
        <v/>
      </c>
      <c r="N56" s="49" t="n">
        <v>420000</v>
      </c>
      <c r="O56" s="49" t="n">
        <v>593200</v>
      </c>
      <c r="P56" s="38">
        <f>IF(AND(ISNUMBER(N56),ISNUMBER(O56),O56&gt;0),N56/O56,"")</f>
        <v/>
      </c>
      <c r="Q56" s="13" t="inlineStr">
        <is>
          <t>户型：1室2厅；面积原文：建筑面积：54.75平方米，其中单元房面积为48.08平方米，附属间面积为6.67平方米；主面积仅取单元房48.08平方米，附属间未计入。</t>
        </is>
      </c>
      <c r="R56" s="20" t="inlineStr">
        <is>
          <t>https://sf-item.taobao.com/sf_item/1079314996946.htm</t>
        </is>
      </c>
    </row>
    <row r="57">
      <c r="A57" s="13" t="inlineStr">
        <is>
          <t>福建省</t>
        </is>
      </c>
      <c r="B57" s="13" t="inlineStr">
        <is>
          <t>福州市</t>
        </is>
      </c>
      <c r="C57" s="13" t="inlineStr">
        <is>
          <t>台江区</t>
        </is>
      </c>
      <c r="D57" s="13" t="inlineStr">
        <is>
          <t>宁化街道祥坂街26号富力中心A座16层02商务办公</t>
        </is>
      </c>
      <c r="E57" s="13" t="inlineStr">
        <is>
          <t>富力中心</t>
        </is>
      </c>
      <c r="F57" s="13" t="inlineStr">
        <is>
          <t>商业</t>
        </is>
      </c>
      <c r="G57" s="13" t="inlineStr">
        <is>
          <t>阿里资产</t>
        </is>
      </c>
      <c r="H57" s="13" t="inlineStr">
        <is>
          <t>二拍</t>
        </is>
      </c>
      <c r="I57" s="48" t="n">
        <v>46278.41666666666</v>
      </c>
      <c r="J57" s="13" t="inlineStr">
        <is>
          <t>即将开始</t>
        </is>
      </c>
      <c r="K57" s="13" t="inlineStr">
        <is>
          <t>福州市台江区人民法院</t>
        </is>
      </c>
      <c r="L57" s="30" t="n">
        <v>138.06</v>
      </c>
      <c r="M57" s="33">
        <f>IF(AND(ISNUMBER(N57),ISNUMBER(L57),L57&gt;0),ROUND(N57/L57,2),"")</f>
        <v/>
      </c>
      <c r="N57" s="49" t="n">
        <v>1142332</v>
      </c>
      <c r="O57" s="49" t="n">
        <v>2039878</v>
      </c>
      <c r="P57" s="38">
        <f>IF(AND(ISNUMBER(N57),ISNUMBER(O57),O57&gt;0),N57/O57,"")</f>
        <v/>
      </c>
      <c r="Q57" s="20" t="inlineStr">
        <is>
          <t>40</t>
        </is>
      </c>
      <c r="R57" s="20" t="inlineStr">
        <is>
          <t>https://sf-item.taobao.com/sf_item/1077415902558.htm</t>
        </is>
      </c>
    </row>
    <row r="58">
      <c r="A58" s="13" t="inlineStr">
        <is>
          <t>福建省</t>
        </is>
      </c>
      <c r="B58" s="13" t="inlineStr">
        <is>
          <t>福州市</t>
        </is>
      </c>
      <c r="C58" s="13" t="inlineStr">
        <is>
          <t>长乐区</t>
        </is>
      </c>
      <c r="D58" s="13" t="inlineStr">
        <is>
          <t>航城街道西洋南路608号中茵天俊珑璟台11#楼1101单元</t>
        </is>
      </c>
      <c r="E58" s="13" t="inlineStr">
        <is>
          <t>中茵天俊珑璟台</t>
        </is>
      </c>
      <c r="F58" s="13" t="inlineStr">
        <is>
          <t>住宅</t>
        </is>
      </c>
      <c r="G58" s="13" t="inlineStr">
        <is>
          <t>阿里资产</t>
        </is>
      </c>
      <c r="H58" s="13" t="inlineStr">
        <is>
          <t>一拍</t>
        </is>
      </c>
      <c r="I58" s="48" t="n">
        <v>46292.41666666666</v>
      </c>
      <c r="J58" s="13" t="inlineStr">
        <is>
          <t>即将开始</t>
        </is>
      </c>
      <c r="K58" s="13" t="inlineStr">
        <is>
          <t>福州市长乐区人民法院</t>
        </is>
      </c>
      <c r="L58" s="30" t="n">
        <v>106.69</v>
      </c>
      <c r="M58" s="33">
        <f>IF(AND(ISNUMBER(N58),ISNUMBER(L58),L58&gt;0),ROUND(N58/L58,2),"")</f>
        <v/>
      </c>
      <c r="N58" s="49" t="n">
        <v>500000</v>
      </c>
      <c r="O58" s="49" t="n">
        <v>712592</v>
      </c>
      <c r="P58" s="38">
        <f>IF(AND(ISNUMBER(N58),ISNUMBER(O58),O58&gt;0),N58/O58,"")</f>
        <v/>
      </c>
      <c r="Q58" s="20" t="inlineStr">
        <is>
          <t>40</t>
        </is>
      </c>
      <c r="R58" s="20" t="inlineStr">
        <is>
          <t>https://sf-item.taobao.com/sf_item/1079544752359.htm</t>
        </is>
      </c>
    </row>
    <row r="59">
      <c r="A59" s="13" t="inlineStr">
        <is>
          <t>福建省</t>
        </is>
      </c>
      <c r="B59" s="13" t="inlineStr">
        <is>
          <t>福州市</t>
        </is>
      </c>
      <c r="C59" s="13" t="inlineStr">
        <is>
          <t>长乐区</t>
        </is>
      </c>
      <c r="D59" s="13" t="inlineStr">
        <is>
          <t>首占镇会堂南路89号长乐名城2#楼104复式单元</t>
        </is>
      </c>
      <c r="E59" s="13" t="inlineStr">
        <is>
          <t>长乐名城</t>
        </is>
      </c>
      <c r="F59" s="13" t="inlineStr">
        <is>
          <t>住宅</t>
        </is>
      </c>
      <c r="G59" s="13" t="inlineStr">
        <is>
          <t>阿里资产</t>
        </is>
      </c>
      <c r="H59" s="13" t="inlineStr">
        <is>
          <t>变卖</t>
        </is>
      </c>
      <c r="I59" s="48" t="n">
        <v>46276.41666666666</v>
      </c>
      <c r="J59" s="13" t="inlineStr">
        <is>
          <t>即将开始</t>
        </is>
      </c>
      <c r="K59" s="13" t="inlineStr">
        <is>
          <t>福州市长乐区人民法院</t>
        </is>
      </c>
      <c r="L59" s="30" t="n">
        <v>103.56</v>
      </c>
      <c r="M59" s="33">
        <f>IF(AND(ISNUMBER(N59),ISNUMBER(L59),L59&gt;0),ROUND(N59/L59,2),"")</f>
        <v/>
      </c>
      <c r="N59" s="49" t="n">
        <v>731200</v>
      </c>
      <c r="O59" s="49" t="n">
        <v>1304367</v>
      </c>
      <c r="P59" s="38">
        <f>IF(AND(ISNUMBER(N59),ISNUMBER(O59),O59&gt;0),N59/O59,"")</f>
        <v/>
      </c>
      <c r="Q59" s="20" t="inlineStr">
        <is>
          <t>40</t>
        </is>
      </c>
      <c r="R59" s="20" t="inlineStr">
        <is>
          <t>https://sf-item.taobao.com/sf_item/1076661243894.htm</t>
        </is>
      </c>
    </row>
    <row r="60">
      <c r="A60" s="13" t="inlineStr">
        <is>
          <t>福建省</t>
        </is>
      </c>
      <c r="B60" s="13" t="inlineStr">
        <is>
          <t>福州市</t>
        </is>
      </c>
      <c r="C60" s="13" t="inlineStr">
        <is>
          <t>长乐区</t>
        </is>
      </c>
      <c r="D60" s="13" t="inlineStr">
        <is>
          <t>长乐市航城街道广场南路888号永荣城市广场1幢523（办公）</t>
        </is>
      </c>
      <c r="E60" s="13" t="inlineStr">
        <is>
          <t>永荣城市广场</t>
        </is>
      </c>
      <c r="F60" s="13" t="inlineStr">
        <is>
          <t>商业</t>
        </is>
      </c>
      <c r="G60" s="13" t="inlineStr">
        <is>
          <t>阿里资产</t>
        </is>
      </c>
      <c r="H60" s="13" t="inlineStr">
        <is>
          <t>二拍</t>
        </is>
      </c>
      <c r="I60" s="48" t="n">
        <v>46276.41666666666</v>
      </c>
      <c r="J60" s="13" t="inlineStr">
        <is>
          <t>即将开始</t>
        </is>
      </c>
      <c r="K60" s="13" t="inlineStr">
        <is>
          <t>福州市长乐区人民法院</t>
        </is>
      </c>
      <c r="L60" s="30" t="n">
        <v>53.01</v>
      </c>
      <c r="M60" s="33">
        <f>IF(AND(ISNUMBER(N60),ISNUMBER(L60),L60&gt;0),ROUND(N60/L60,2),"")</f>
        <v/>
      </c>
      <c r="N60" s="49" t="n">
        <v>320000</v>
      </c>
      <c r="O60" s="49" t="n">
        <v>570323</v>
      </c>
      <c r="P60" s="38">
        <f>IF(AND(ISNUMBER(N60),ISNUMBER(O60),O60&gt;0),N60/O60,"")</f>
        <v/>
      </c>
      <c r="Q60" s="20" t="inlineStr">
        <is>
          <t>40</t>
        </is>
      </c>
      <c r="R60" s="20" t="inlineStr">
        <is>
          <t>https://sf-item.taobao.com/sf_item/1078555169548.htm</t>
        </is>
      </c>
    </row>
    <row r="61">
      <c r="A61" s="13" t="inlineStr">
        <is>
          <t>福建省</t>
        </is>
      </c>
      <c r="B61" s="13" t="inlineStr">
        <is>
          <t>福州市</t>
        </is>
      </c>
      <c r="C61" s="13" t="inlineStr">
        <is>
          <t>长乐区</t>
        </is>
      </c>
      <c r="D61" s="13" t="inlineStr">
        <is>
          <t>文武砂镇东阳路99号新天地时代广场D-3#楼、D-S3#楼2001商务办公及D地块地下室400车位</t>
        </is>
      </c>
      <c r="E61" s="13" t="inlineStr">
        <is>
          <t>新天地时代广场</t>
        </is>
      </c>
      <c r="F61" s="13" t="inlineStr">
        <is>
          <t>商业</t>
        </is>
      </c>
      <c r="G61" s="13" t="inlineStr">
        <is>
          <t>阿里资产</t>
        </is>
      </c>
      <c r="H61" s="13" t="inlineStr">
        <is>
          <t>二拍</t>
        </is>
      </c>
      <c r="I61" s="48" t="n">
        <v>46275.41666666666</v>
      </c>
      <c r="J61" s="13" t="inlineStr">
        <is>
          <t>即将开始</t>
        </is>
      </c>
      <c r="K61" s="13" t="inlineStr">
        <is>
          <t>福州市长乐区人民法院</t>
        </is>
      </c>
      <c r="L61" s="30" t="n">
        <v>139.63</v>
      </c>
      <c r="M61" s="33">
        <f>IF(AND(ISNUMBER(N61),ISNUMBER(L61),L61&gt;0),ROUND(N61/L61,2),"")</f>
        <v/>
      </c>
      <c r="N61" s="49" t="n">
        <v>6</v>
      </c>
      <c r="O61" s="49" t="n">
        <v>1207000</v>
      </c>
      <c r="P61" s="38">
        <f>IF(AND(ISNUMBER(N61),ISNUMBER(O61),O61&gt;0),N61/O61,"")</f>
        <v/>
      </c>
      <c r="Q61" s="13" t="inlineStr">
        <is>
          <t>面积原文：上述房产建筑面积约139.63平方米，车位建筑面积约32.03平方米。主面积仅取商务办公139.63平方米，车位未计入。数据疑似有误：起拍价6元÷建筑面积139.63㎡≈0元/㎡，低于500元/㎡。；数据疑似有误：起拍单价约0元/㎡，超出500—100000元/㎡常规核验区间</t>
        </is>
      </c>
      <c r="R61" s="20" t="inlineStr">
        <is>
          <t>https://sf-item.taobao.com/sf_item/1076399775701.htm</t>
        </is>
      </c>
    </row>
    <row r="62">
      <c r="A62" s="13" t="inlineStr">
        <is>
          <t>福建省</t>
        </is>
      </c>
      <c r="B62" s="13" t="inlineStr">
        <is>
          <t>泉州市</t>
        </is>
      </c>
      <c r="C62" s="13" t="inlineStr">
        <is>
          <t>安溪县</t>
        </is>
      </c>
      <c r="D62" s="13" t="inlineStr">
        <is>
          <t>凤城镇河滨南路1358号世纪豪庭14# 1111室房产</t>
        </is>
      </c>
      <c r="E62" s="13" t="inlineStr">
        <is>
          <t>世纪豪庭</t>
        </is>
      </c>
      <c r="F62" s="13" t="inlineStr">
        <is>
          <t>住宅</t>
        </is>
      </c>
      <c r="G62" s="13" t="inlineStr">
        <is>
          <t>阿里资产</t>
        </is>
      </c>
      <c r="H62" s="13" t="inlineStr">
        <is>
          <t>一拍</t>
        </is>
      </c>
      <c r="I62" s="48" t="n">
        <v>46303.08333333334</v>
      </c>
      <c r="J62" s="13" t="inlineStr">
        <is>
          <t>即将开始</t>
        </is>
      </c>
      <c r="K62" s="13" t="inlineStr">
        <is>
          <t>安溪县人民法院</t>
        </is>
      </c>
      <c r="L62" s="30" t="n">
        <v>132.44</v>
      </c>
      <c r="M62" s="33">
        <f>IF(AND(ISNUMBER(N62),ISNUMBER(L62),L62&gt;0),ROUND(N62/L62,2),"")</f>
        <v/>
      </c>
      <c r="N62" s="49" t="n">
        <v>650000</v>
      </c>
      <c r="O62" s="49" t="n">
        <v>714032</v>
      </c>
      <c r="P62" s="38">
        <f>IF(AND(ISNUMBER(N62),ISNUMBER(O62),O62&gt;0),N62/O62,"")</f>
        <v/>
      </c>
      <c r="Q62" s="20" t="inlineStr">
        <is>
          <t>本次补采未获取到面积证据，需人工复核；浏览器补采</t>
        </is>
      </c>
      <c r="R62" s="20" t="inlineStr">
        <is>
          <t>https://sf-item.taobao.com/sf_item/1076890443075.htm</t>
        </is>
      </c>
    </row>
    <row r="63">
      <c r="A63" s="13" t="inlineStr">
        <is>
          <t>福建省</t>
        </is>
      </c>
      <c r="B63" s="13" t="inlineStr">
        <is>
          <t>泉州市</t>
        </is>
      </c>
      <c r="C63" s="13" t="inlineStr">
        <is>
          <t>安溪县</t>
        </is>
      </c>
      <c r="D63" s="13" t="inlineStr">
        <is>
          <t>城厢镇建安南路999号正祥溪山安邸7号楼1梯1801室房产</t>
        </is>
      </c>
      <c r="E63" s="13" t="inlineStr">
        <is>
          <t>正祥溪山安邸</t>
        </is>
      </c>
      <c r="F63" s="13" t="inlineStr">
        <is>
          <t>住宅</t>
        </is>
      </c>
      <c r="G63" s="13" t="inlineStr">
        <is>
          <t>阿里资产</t>
        </is>
      </c>
      <c r="H63" s="13" t="inlineStr">
        <is>
          <t>一拍</t>
        </is>
      </c>
      <c r="I63" s="48" t="n">
        <v>46303.08333333334</v>
      </c>
      <c r="J63" s="13" t="inlineStr">
        <is>
          <t>即将开始</t>
        </is>
      </c>
      <c r="K63" s="13" t="inlineStr">
        <is>
          <t>安溪县人民法院</t>
        </is>
      </c>
      <c r="L63" s="30" t="n">
        <v>111.85</v>
      </c>
      <c r="M63" s="33">
        <f>IF(AND(ISNUMBER(N63),ISNUMBER(L63),L63&gt;0),ROUND(N63/L63,2),"")</f>
        <v/>
      </c>
      <c r="N63" s="49" t="n">
        <v>634000</v>
      </c>
      <c r="O63" s="49" t="n">
        <v>792435</v>
      </c>
      <c r="P63" s="38">
        <f>IF(AND(ISNUMBER(N63),ISNUMBER(O63),O63&gt;0),N63/O63,"")</f>
        <v/>
      </c>
      <c r="Q63" s="20" t="inlineStr">
        <is>
          <t>本次补采未获取到面积证据，需人工复核；浏览器补采</t>
        </is>
      </c>
      <c r="R63" s="20" t="inlineStr">
        <is>
          <t>https://sf-item.taobao.com/sf_item/1078725409847.htm</t>
        </is>
      </c>
    </row>
    <row r="64">
      <c r="A64" s="13" t="inlineStr">
        <is>
          <t>福建省</t>
        </is>
      </c>
      <c r="B64" s="13" t="inlineStr">
        <is>
          <t>泉州市</t>
        </is>
      </c>
      <c r="C64" s="13" t="inlineStr">
        <is>
          <t>安溪县</t>
        </is>
      </c>
      <c r="D64" s="13" t="inlineStr">
        <is>
          <t>城厢镇二环南路666号百福豪城21号楼1601室房产</t>
        </is>
      </c>
      <c r="E64" s="13" t="inlineStr">
        <is>
          <t>百福豪城</t>
        </is>
      </c>
      <c r="F64" s="13" t="inlineStr">
        <is>
          <t>住宅</t>
        </is>
      </c>
      <c r="G64" s="13" t="inlineStr">
        <is>
          <t>阿里资产</t>
        </is>
      </c>
      <c r="H64" s="13" t="inlineStr">
        <is>
          <t>一拍</t>
        </is>
      </c>
      <c r="I64" s="48" t="n">
        <v>46303.08333333334</v>
      </c>
      <c r="J64" s="13" t="inlineStr">
        <is>
          <t>即将开始</t>
        </is>
      </c>
      <c r="K64" s="13" t="inlineStr">
        <is>
          <t>安溪县人民法院</t>
        </is>
      </c>
      <c r="L64" s="30" t="n">
        <v>116.98</v>
      </c>
      <c r="M64" s="33">
        <f>IF(AND(ISNUMBER(N64),ISNUMBER(L64),L64&gt;0),ROUND(N64/L64,2),"")</f>
        <v/>
      </c>
      <c r="N64" s="49" t="n">
        <v>675000</v>
      </c>
      <c r="O64" s="49" t="n">
        <v>843688</v>
      </c>
      <c r="P64" s="38">
        <f>IF(AND(ISNUMBER(N64),ISNUMBER(O64),O64&gt;0),N64/O64,"")</f>
        <v/>
      </c>
      <c r="Q64" s="20" t="inlineStr">
        <is>
          <t>面积证据：该标的物位于安溪县城厢镇二环南路666号百福豪城21号楼1601室房产，建筑面积116.98㎡，不动产权证号：闽(2023)安溪县不动产权第0011667号。法院不负责落户及学位问题,请竞买人参拍前咨询相关职能部门。具体现场状况以实际为准，未标明的瑕疵不在拍卖人承担范围,请竞买人自行了解。特别说明：拍卖标的仅限房屋，不包括室内可移动设施、物品等，若有物品可能存在后续处理。房屋未腾空（有签署腾房承诺书），法院将在合理期间内腾空并交付。拍卖标的物以现状进行拍卖，其外观、结构、固定装修及内在质量以移交时的现状为准，房屋图片和视频仅供参考。竞买人竞买成功后若后期相关部门对自建部分进行拆除或相关权利主体主张权利，本院不对此自建部分进行任何保证，本院不承担任何相应责任。上述拍卖的标的是否设立居住权，需竞买人自行前往标的物所在地的不动产登记中心自行了解，竞买人参与竞买视为对上述情况了解并接受，本院不做任何保证，不承担任何保证责任。；浏览器补采</t>
        </is>
      </c>
      <c r="R64" s="20" t="inlineStr">
        <is>
          <t>https://sf-item.taobao.com/sf_item/1079730120338.htm</t>
        </is>
      </c>
    </row>
    <row r="65">
      <c r="A65" s="13" t="inlineStr">
        <is>
          <t>福建省</t>
        </is>
      </c>
      <c r="B65" s="13" t="inlineStr">
        <is>
          <t>泉州市</t>
        </is>
      </c>
      <c r="C65" s="13" t="inlineStr">
        <is>
          <t>安溪县</t>
        </is>
      </c>
      <c r="D65" s="13" t="inlineStr">
        <is>
          <t>凤城镇锦城路99号铁观音山庄51号楼3004室房产</t>
        </is>
      </c>
      <c r="E65" s="13" t="inlineStr">
        <is>
          <t>锦城</t>
        </is>
      </c>
      <c r="F65" s="13" t="inlineStr">
        <is>
          <t>住宅</t>
        </is>
      </c>
      <c r="G65" s="13" t="inlineStr">
        <is>
          <t>阿里资产</t>
        </is>
      </c>
      <c r="H65" s="13" t="inlineStr">
        <is>
          <t>一拍</t>
        </is>
      </c>
      <c r="I65" s="48" t="n">
        <v>46298.08333333334</v>
      </c>
      <c r="J65" s="13" t="inlineStr">
        <is>
          <t>即将开始</t>
        </is>
      </c>
      <c r="K65" s="13" t="inlineStr">
        <is>
          <t>安溪县人民法院</t>
        </is>
      </c>
      <c r="L65" s="30" t="n">
        <v>126.74</v>
      </c>
      <c r="M65" s="33">
        <f>IF(AND(ISNUMBER(N65),ISNUMBER(L65),L65&gt;0),ROUND(N65/L65,2),"")</f>
        <v/>
      </c>
      <c r="N65" s="49" t="n">
        <v>703000</v>
      </c>
      <c r="O65" s="49" t="n">
        <v>878460</v>
      </c>
      <c r="P65" s="38">
        <f>IF(AND(ISNUMBER(N65),ISNUMBER(O65),O65&gt;0),N65/O65,"")</f>
        <v/>
      </c>
      <c r="Q65" s="20" t="inlineStr">
        <is>
          <t>面积证据：标的物介绍 建筑面积 建筑面积：126.74㎡。；浏览器补采</t>
        </is>
      </c>
      <c r="R65" s="20" t="inlineStr">
        <is>
          <t>https://sf-item.taobao.com/sf_item/1079760312123.htm</t>
        </is>
      </c>
    </row>
    <row r="66">
      <c r="A66" s="13" t="inlineStr">
        <is>
          <t>福建省</t>
        </is>
      </c>
      <c r="B66" s="13" t="inlineStr">
        <is>
          <t>泉州市</t>
        </is>
      </c>
      <c r="C66" s="13" t="inlineStr">
        <is>
          <t>安溪县</t>
        </is>
      </c>
      <c r="D66" s="13" t="inlineStr">
        <is>
          <t>凤城镇北石兴安路3幢63号402室房产</t>
        </is>
      </c>
      <c r="E66" s="13" t="inlineStr">
        <is>
          <t>商住小区</t>
        </is>
      </c>
      <c r="F66" s="13" t="inlineStr">
        <is>
          <t>住宅</t>
        </is>
      </c>
      <c r="G66" s="13" t="inlineStr">
        <is>
          <t>阿里资产</t>
        </is>
      </c>
      <c r="H66" s="13" t="inlineStr">
        <is>
          <t>二拍</t>
        </is>
      </c>
      <c r="I66" s="48" t="n">
        <v>46282.08333333334</v>
      </c>
      <c r="J66" s="13" t="inlineStr">
        <is>
          <t>即将开始</t>
        </is>
      </c>
      <c r="K66" s="13" t="inlineStr">
        <is>
          <t>安溪县人民法院</t>
        </is>
      </c>
      <c r="L66" s="30" t="n">
        <v>114.65</v>
      </c>
      <c r="M66" s="33">
        <f>IF(AND(ISNUMBER(N66),ISNUMBER(L66),L66&gt;0),ROUND(N66/L66,2),"")</f>
        <v/>
      </c>
      <c r="N66" s="49" t="n">
        <v>175000</v>
      </c>
      <c r="O66" s="49" t="n">
        <v>193575</v>
      </c>
      <c r="P66" s="38">
        <f>IF(AND(ISNUMBER(N66),ISNUMBER(O66),O66&gt;0),N66/O66,"")</f>
        <v/>
      </c>
      <c r="Q66" s="20" t="inlineStr">
        <is>
          <t>面积证据：标的物介绍 建筑面积 建筑面积：114.65㎡。另有附带一煤间，煤间面积为8.4㎡，编号是A116号。；浏览器补采</t>
        </is>
      </c>
      <c r="R66" s="20" t="inlineStr">
        <is>
          <t>https://sf-item.taobao.com/sf_item/1077716718125.htm</t>
        </is>
      </c>
    </row>
    <row r="67">
      <c r="A67" s="13" t="inlineStr">
        <is>
          <t>福建省</t>
        </is>
      </c>
      <c r="B67" s="13" t="inlineStr">
        <is>
          <t>泉州市</t>
        </is>
      </c>
      <c r="C67" s="13" t="inlineStr">
        <is>
          <t>安溪县</t>
        </is>
      </c>
      <c r="D67" s="13" t="inlineStr">
        <is>
          <t>凤城镇河滨南路1358号世纪豪庭15#楼501室房产</t>
        </is>
      </c>
      <c r="E67" s="13" t="inlineStr">
        <is>
          <t>世纪豪庭</t>
        </is>
      </c>
      <c r="F67" s="13" t="inlineStr">
        <is>
          <t>住宅</t>
        </is>
      </c>
      <c r="G67" s="13" t="inlineStr">
        <is>
          <t>阿里资产</t>
        </is>
      </c>
      <c r="H67" s="13" t="inlineStr">
        <is>
          <t>二拍</t>
        </is>
      </c>
      <c r="I67" s="48" t="n">
        <v>46282.08333333334</v>
      </c>
      <c r="J67" s="13" t="inlineStr">
        <is>
          <t>即将开始</t>
        </is>
      </c>
      <c r="K67" s="13" t="inlineStr">
        <is>
          <t>安溪县人民法院</t>
        </is>
      </c>
      <c r="L67" s="30" t="n">
        <v>125.35</v>
      </c>
      <c r="M67" s="33">
        <f>IF(AND(ISNUMBER(N67),ISNUMBER(L67),L67&gt;0),ROUND(N67/L67,2),"")</f>
        <v/>
      </c>
      <c r="N67" s="49" t="n">
        <v>434700</v>
      </c>
      <c r="O67" s="49" t="n">
        <v>567956</v>
      </c>
      <c r="P67" s="38">
        <f>IF(AND(ISNUMBER(N67),ISNUMBER(O67),O67&gt;0),N67/O67,"")</f>
        <v/>
      </c>
      <c r="Q67" s="20" t="inlineStr">
        <is>
          <t>面积证据：标的物介绍 建筑面积 建筑面积：125.35㎡。；浏览器补采</t>
        </is>
      </c>
      <c r="R67" s="20" t="inlineStr">
        <is>
          <t>https://sf-item.taobao.com/sf_item/1077716818602.htm</t>
        </is>
      </c>
    </row>
    <row r="68">
      <c r="A68" s="13" t="inlineStr">
        <is>
          <t>福建省</t>
        </is>
      </c>
      <c r="B68" s="13" t="inlineStr">
        <is>
          <t>泉州市</t>
        </is>
      </c>
      <c r="C68" s="13" t="inlineStr">
        <is>
          <t>德化县</t>
        </is>
      </c>
      <c r="D68" s="13" t="inlineStr">
        <is>
          <t>德化龙浔镇兴南街77号金龙中心城9幢3层I301</t>
        </is>
      </c>
      <c r="E68" s="13" t="inlineStr">
        <is>
          <t>金龙中心</t>
        </is>
      </c>
      <c r="F68" s="13" t="inlineStr">
        <is>
          <t>住宅</t>
        </is>
      </c>
      <c r="G68" s="13" t="inlineStr">
        <is>
          <t>阿里资产</t>
        </is>
      </c>
      <c r="H68" s="13" t="inlineStr">
        <is>
          <t>一拍</t>
        </is>
      </c>
      <c r="I68" s="48" t="n">
        <v>46293.08333333334</v>
      </c>
      <c r="J68" s="13" t="inlineStr">
        <is>
          <t>即将开始</t>
        </is>
      </c>
      <c r="K68" s="13" t="inlineStr">
        <is>
          <t>德化县人民法院</t>
        </is>
      </c>
      <c r="L68" s="30" t="n">
        <v>666.55</v>
      </c>
      <c r="M68" s="33">
        <f>IF(AND(ISNUMBER(N68),ISNUMBER(L68),L68&gt;0),ROUND(N68/L68,2),"")</f>
        <v/>
      </c>
      <c r="N68" s="49" t="n">
        <v>3273060</v>
      </c>
      <c r="O68" s="49" t="n">
        <v>4675800</v>
      </c>
      <c r="P68" s="38">
        <f>IF(AND(ISNUMBER(N68),ISNUMBER(O68),O68&gt;0),N68/O68,"")</f>
        <v/>
      </c>
      <c r="Q68" s="20" t="inlineStr">
        <is>
          <t>面积证据：估价对象坐落于泉州市德化县龙浔镇兴南街77号金龙中心城9幢3层I301室房地产；所在楼幢为钢筋混凝土结构，总层数为4层；估价对象位于地上第3层，I301室建筑面积为666.55㎡，分摊的土地使用权面积为100.42㎡，用途均为城镇住宅用地/其它（会所），权属人为德化金龙置业有限公司。；浏览器补采</t>
        </is>
      </c>
      <c r="R68" s="20" t="inlineStr">
        <is>
          <t>https://sf-item.taobao.com/sf_item/1076846623564.htm</t>
        </is>
      </c>
    </row>
    <row r="69">
      <c r="A69" s="13" t="inlineStr">
        <is>
          <t>福建省</t>
        </is>
      </c>
      <c r="B69" s="13" t="inlineStr">
        <is>
          <t>泉州市</t>
        </is>
      </c>
      <c r="C69" s="13" t="inlineStr">
        <is>
          <t>德化县</t>
        </is>
      </c>
      <c r="D69" s="13" t="inlineStr">
        <is>
          <t>龙浔镇兴南街77号金龙中心城9幢4层I401</t>
        </is>
      </c>
      <c r="E69" s="13" t="inlineStr">
        <is>
          <t>金龙中心</t>
        </is>
      </c>
      <c r="F69" s="13" t="inlineStr">
        <is>
          <t>住宅</t>
        </is>
      </c>
      <c r="G69" s="13" t="inlineStr">
        <is>
          <t>阿里资产</t>
        </is>
      </c>
      <c r="H69" s="13" t="inlineStr">
        <is>
          <t>一拍</t>
        </is>
      </c>
      <c r="I69" s="48" t="n">
        <v>46293.08333333334</v>
      </c>
      <c r="J69" s="13" t="inlineStr">
        <is>
          <t>即将开始</t>
        </is>
      </c>
      <c r="K69" s="13" t="inlineStr">
        <is>
          <t>德化县人民法院</t>
        </is>
      </c>
      <c r="L69" s="30" t="n">
        <v>666.88</v>
      </c>
      <c r="M69" s="33">
        <f>IF(AND(ISNUMBER(N69),ISNUMBER(L69),L69&gt;0),ROUND(N69/L69,2),"")</f>
        <v/>
      </c>
      <c r="N69" s="49" t="n">
        <v>3274740</v>
      </c>
      <c r="O69" s="49" t="n">
        <v>4678200</v>
      </c>
      <c r="P69" s="38">
        <f>IF(AND(ISNUMBER(N69),ISNUMBER(O69),O69&gt;0),N69/O69,"")</f>
        <v/>
      </c>
      <c r="Q69" s="20" t="inlineStr">
        <is>
          <t>面积证据：估价对象坐落于泉州市德化县龙浔镇兴南街77号金龙中心城9幢4层I401室房地产；所在楼幢为钢筋混凝土结构，总层数为4层；估价对象位于地上第4层，I401室建筑面积为666.88㎡，分摊的土地使用权面积为100.47㎡，用途均为城镇住宅用地/其它（会所），权属人为德化金龙置业有限公司。；浏览器补采</t>
        </is>
      </c>
      <c r="R69" s="20" t="inlineStr">
        <is>
          <t>https://sf-item.taobao.com/sf_item/1076847235217.htm</t>
        </is>
      </c>
    </row>
    <row r="70">
      <c r="A70" s="13" t="inlineStr">
        <is>
          <t>福建省</t>
        </is>
      </c>
      <c r="B70" s="13" t="inlineStr">
        <is>
          <t>泉州市</t>
        </is>
      </c>
      <c r="C70" s="13" t="inlineStr">
        <is>
          <t>德化县</t>
        </is>
      </c>
      <c r="D70" s="13" t="inlineStr">
        <is>
          <t>龙浔镇兴南街77号金龙中心城9幢2层I202</t>
        </is>
      </c>
      <c r="E70" s="13" t="inlineStr">
        <is>
          <t>金龙中心</t>
        </is>
      </c>
      <c r="F70" s="13" t="inlineStr">
        <is>
          <t>住宅</t>
        </is>
      </c>
      <c r="G70" s="13" t="inlineStr">
        <is>
          <t>阿里资产</t>
        </is>
      </c>
      <c r="H70" s="13" t="inlineStr">
        <is>
          <t>一拍</t>
        </is>
      </c>
      <c r="I70" s="48" t="n">
        <v>46293.08333333334</v>
      </c>
      <c r="J70" s="13" t="inlineStr">
        <is>
          <t>即将开始</t>
        </is>
      </c>
      <c r="K70" s="13" t="inlineStr">
        <is>
          <t>德化县人民法院</t>
        </is>
      </c>
      <c r="L70" s="30" t="n">
        <v>533.9400000000001</v>
      </c>
      <c r="M70" s="33">
        <f>IF(AND(ISNUMBER(N70),ISNUMBER(L70),L70&gt;0),ROUND(N70/L70,2),"")</f>
        <v/>
      </c>
      <c r="N70" s="49" t="n">
        <v>3709160</v>
      </c>
      <c r="O70" s="49" t="n">
        <v>5298800</v>
      </c>
      <c r="P70" s="38">
        <f>IF(AND(ISNUMBER(N70),ISNUMBER(O70),O70&gt;0),N70/O70,"")</f>
        <v/>
      </c>
      <c r="Q70" s="20" t="inlineStr">
        <is>
          <t>面积证据：估价对象坐落于泉州市德化县龙浔镇兴南街77号金龙中心城9幢2层I202室房地产；所在楼幢为钢筋混凝土结构，总层数为4层；估价对象位于地上第2层，I202室建筑面积为533.94㎡，I202室分摊的土地使用权面积为80.44㎡，用途为城镇住宅用地/其它（会所），权属人为德化金龙置业有限公司。；浏览器补采</t>
        </is>
      </c>
      <c r="R70" s="20" t="inlineStr">
        <is>
          <t>https://sf-item.taobao.com/sf_item/1078754889677.htm</t>
        </is>
      </c>
    </row>
    <row r="71">
      <c r="A71" s="13" t="inlineStr">
        <is>
          <t>福建省</t>
        </is>
      </c>
      <c r="B71" s="13" t="inlineStr">
        <is>
          <t>泉州市</t>
        </is>
      </c>
      <c r="C71" s="13" t="inlineStr">
        <is>
          <t>德化县</t>
        </is>
      </c>
      <c r="D71" s="13" t="inlineStr">
        <is>
          <t>龙浔镇兴南街77号金龙中心城9幢2层I201</t>
        </is>
      </c>
      <c r="E71" s="13" t="inlineStr">
        <is>
          <t>金龙中心</t>
        </is>
      </c>
      <c r="F71" s="13" t="inlineStr">
        <is>
          <t>住宅</t>
        </is>
      </c>
      <c r="G71" s="13" t="inlineStr">
        <is>
          <t>阿里资产</t>
        </is>
      </c>
      <c r="H71" s="13" t="inlineStr">
        <is>
          <t>一拍</t>
        </is>
      </c>
      <c r="I71" s="48" t="n">
        <v>46293.08333333334</v>
      </c>
      <c r="J71" s="13" t="inlineStr">
        <is>
          <t>即将开始</t>
        </is>
      </c>
      <c r="K71" s="13" t="inlineStr">
        <is>
          <t>德化县人民法院</t>
        </is>
      </c>
      <c r="L71" s="30" t="n">
        <v>168.71</v>
      </c>
      <c r="M71" s="33">
        <f>IF(AND(ISNUMBER(N71),ISNUMBER(L71),L71&gt;0),ROUND(N71/L71,2),"")</f>
        <v/>
      </c>
      <c r="N71" s="49" t="n">
        <v>1172010</v>
      </c>
      <c r="O71" s="49" t="n">
        <v>1674300</v>
      </c>
      <c r="P71" s="38">
        <f>IF(AND(ISNUMBER(N71),ISNUMBER(O71),O71&gt;0),N71/O71,"")</f>
        <v/>
      </c>
      <c r="Q71" s="20" t="inlineStr">
        <is>
          <t>面积证据：估价对象坐落于泉州市德化县龙浔镇兴南街77号金龙中心城9幢2层I201室房地产；所在楼幢为钢筋混凝土结构，总层数为4层；估价对象位于地上第2层，I201室建筑面积为168.71㎡，I201室分摊的土地使用权面积为25.42㎡，用途为城镇住宅用地/其它（会所），权属人为德化金龙置业有限公司。；浏览器补采</t>
        </is>
      </c>
      <c r="R71" s="20" t="inlineStr">
        <is>
          <t>https://sf-item.taobao.com/sf_item/1078755433984.htm</t>
        </is>
      </c>
    </row>
    <row r="72">
      <c r="A72" s="13" t="inlineStr">
        <is>
          <t>福建省</t>
        </is>
      </c>
      <c r="B72" s="13" t="inlineStr">
        <is>
          <t>泉州市</t>
        </is>
      </c>
      <c r="C72" s="13" t="inlineStr">
        <is>
          <t>丰泽区</t>
        </is>
      </c>
      <c r="D72" s="13" t="inlineStr">
        <is>
          <t>江滨北路潘山段北侧泉州万科城一期3号楼A305</t>
        </is>
      </c>
      <c r="E72" s="13" t="inlineStr">
        <is>
          <t>泉州万科城</t>
        </is>
      </c>
      <c r="F72" s="13" t="inlineStr">
        <is>
          <t>住宅</t>
        </is>
      </c>
      <c r="G72" s="13" t="inlineStr">
        <is>
          <t>阿里资产</t>
        </is>
      </c>
      <c r="H72" s="13" t="inlineStr">
        <is>
          <t>变卖</t>
        </is>
      </c>
      <c r="I72" s="48" t="n">
        <v>46279.08333333334</v>
      </c>
      <c r="J72" s="13" t="inlineStr">
        <is>
          <t>即将开始</t>
        </is>
      </c>
      <c r="K72" s="13" t="inlineStr">
        <is>
          <t>福建省泉州市中级人民法院</t>
        </is>
      </c>
      <c r="L72" s="30" t="n">
        <v>85.87</v>
      </c>
      <c r="M72" s="33">
        <f>IF(AND(ISNUMBER(N72),ISNUMBER(L72),L72&gt;0),ROUND(N72/L72,2),"")</f>
        <v/>
      </c>
      <c r="N72" s="49" t="n">
        <v>745000</v>
      </c>
      <c r="O72" s="49" t="n">
        <v>1330000</v>
      </c>
      <c r="P72" s="38">
        <f>IF(AND(ISNUMBER(N72),ISNUMBER(O72),O72&gt;0),N72/O72,"")</f>
        <v/>
      </c>
      <c r="Q72" s="20" t="inlineStr">
        <is>
          <t>面积证据：建筑面积 85.87㎡；浏览器补采</t>
        </is>
      </c>
      <c r="R72" s="20" t="inlineStr">
        <is>
          <t>https://sf-item.taobao.com/sf_item/1078738913494.htm</t>
        </is>
      </c>
    </row>
    <row r="73">
      <c r="A73" s="13" t="inlineStr">
        <is>
          <t>福建省</t>
        </is>
      </c>
      <c r="B73" s="13" t="inlineStr">
        <is>
          <t>泉州市</t>
        </is>
      </c>
      <c r="C73" s="13" t="inlineStr">
        <is>
          <t>晋江市</t>
        </is>
      </c>
      <c r="D73" s="13" t="inlineStr">
        <is>
          <t>梅岭街道双龙西路305号中航城·天玺46幢3702室</t>
        </is>
      </c>
      <c r="E73" s="13" t="inlineStr">
        <is>
          <t>中航城·天玺</t>
        </is>
      </c>
      <c r="F73" s="13" t="inlineStr">
        <is>
          <t>住宅</t>
        </is>
      </c>
      <c r="G73" s="13" t="inlineStr">
        <is>
          <t>阿里资产</t>
        </is>
      </c>
      <c r="H73" s="13" t="inlineStr">
        <is>
          <t>一拍</t>
        </is>
      </c>
      <c r="I73" s="48" t="n">
        <v>46293.08333333334</v>
      </c>
      <c r="J73" s="13" t="inlineStr">
        <is>
          <t>即将开始</t>
        </is>
      </c>
      <c r="K73" s="13" t="inlineStr">
        <is>
          <t>福建省泉州市中级人民法院</t>
        </is>
      </c>
      <c r="L73" s="30" t="n">
        <v>127.36</v>
      </c>
      <c r="M73" s="33">
        <f>IF(AND(ISNUMBER(N73),ISNUMBER(L73),L73&gt;0),ROUND(N73/L73,2),"")</f>
        <v/>
      </c>
      <c r="N73" s="49" t="n">
        <v>907000</v>
      </c>
      <c r="O73" s="49" t="n">
        <v>1294551</v>
      </c>
      <c r="P73" s="38">
        <f>IF(AND(ISNUMBER(N73),ISNUMBER(O73),O73&gt;0),N73/O73,"")</f>
        <v/>
      </c>
      <c r="Q73" s="20" t="inlineStr">
        <is>
          <t>本次补采未获取到面积证据，需人工复核；浏览器补采</t>
        </is>
      </c>
      <c r="R73" s="20" t="inlineStr">
        <is>
          <t>https://sf-item.taobao.com/sf_item/1076842391975.htm</t>
        </is>
      </c>
    </row>
    <row r="74">
      <c r="A74" s="13" t="inlineStr">
        <is>
          <t>福建省</t>
        </is>
      </c>
      <c r="B74" s="13" t="inlineStr">
        <is>
          <t>泉州市</t>
        </is>
      </c>
      <c r="C74" s="13" t="inlineStr">
        <is>
          <t>晋江市</t>
        </is>
      </c>
      <c r="D74" s="13" t="inlineStr">
        <is>
          <t>梅岭街道长兴路657号中奥·名雅居2幢201住宅</t>
        </is>
      </c>
      <c r="E74" s="13" t="inlineStr">
        <is>
          <t>中奥·名雅居</t>
        </is>
      </c>
      <c r="F74" s="13" t="inlineStr">
        <is>
          <t>住宅</t>
        </is>
      </c>
      <c r="G74" s="13" t="inlineStr">
        <is>
          <t>阿里资产</t>
        </is>
      </c>
      <c r="H74" s="13" t="inlineStr">
        <is>
          <t>二拍</t>
        </is>
      </c>
      <c r="I74" s="48" t="n">
        <v>46279.08333333334</v>
      </c>
      <c r="J74" s="13" t="inlineStr">
        <is>
          <t>即将开始</t>
        </is>
      </c>
      <c r="K74" s="13" t="inlineStr">
        <is>
          <t>晋江市人民法院</t>
        </is>
      </c>
      <c r="L74" s="30" t="n">
        <v>128.56</v>
      </c>
      <c r="M74" s="33">
        <f>IF(AND(ISNUMBER(N74),ISNUMBER(L74),L74&gt;0),ROUND(N74/L74,2),"")</f>
        <v/>
      </c>
      <c r="N74" s="49" t="n">
        <v>727184</v>
      </c>
      <c r="O74" s="49" t="n">
        <v>1298542</v>
      </c>
      <c r="P74" s="38">
        <f>IF(AND(ISNUMBER(N74),ISNUMBER(O74),O74&gt;0),N74/O74,"")</f>
        <v/>
      </c>
      <c r="Q74" s="20" t="inlineStr">
        <is>
          <t>本次补采未获取到面积证据，需人工复核；浏览器补采</t>
        </is>
      </c>
      <c r="R74" s="20" t="inlineStr">
        <is>
          <t>https://sf-item.taobao.com/sf_item/1077719558217.htm</t>
        </is>
      </c>
    </row>
    <row r="75">
      <c r="A75" s="13" t="inlineStr">
        <is>
          <t>福建省</t>
        </is>
      </c>
      <c r="B75" s="13" t="inlineStr">
        <is>
          <t>泉州市</t>
        </is>
      </c>
      <c r="C75" s="13" t="inlineStr">
        <is>
          <t>晋江市</t>
        </is>
      </c>
      <c r="D75" s="13" t="inlineStr">
        <is>
          <t>水头镇荷楼片区首期奎峰北路安置区（东星荷景园）3号楼B4层401室住宅</t>
        </is>
      </c>
      <c r="E75" s="13" t="inlineStr">
        <is>
          <t>东星荷景园</t>
        </is>
      </c>
      <c r="F75" s="13" t="inlineStr">
        <is>
          <t>商业</t>
        </is>
      </c>
      <c r="G75" s="13" t="inlineStr">
        <is>
          <t>阿里资产</t>
        </is>
      </c>
      <c r="H75" s="13" t="inlineStr">
        <is>
          <t>变卖</t>
        </is>
      </c>
      <c r="I75" s="48" t="n">
        <v>46277.08333333334</v>
      </c>
      <c r="J75" s="13" t="inlineStr">
        <is>
          <t>即将开始</t>
        </is>
      </c>
      <c r="K75" s="13" t="inlineStr">
        <is>
          <t>晋江市人民法院</t>
        </is>
      </c>
      <c r="L75" s="30" t="n">
        <v>138.17</v>
      </c>
      <c r="M75" s="33">
        <f>IF(AND(ISNUMBER(N75),ISNUMBER(L75),L75&gt;0),ROUND(N75/L75,2),"")</f>
        <v/>
      </c>
      <c r="N75" s="49" t="n">
        <v>332714</v>
      </c>
      <c r="O75" s="49" t="n">
        <v>594131</v>
      </c>
      <c r="P75" s="38">
        <f>IF(AND(ISNUMBER(N75),ISNUMBER(O75),O75&gt;0),N75/O75,"")</f>
        <v/>
      </c>
      <c r="Q75" s="20" t="inlineStr">
        <is>
          <t>面积证据：1、拍卖对象：南安市水头镇荷楼片区首期奎峰北路安置区（东星荷景园）3号楼B4层401室住宅。该房产位于楼幢（总层数32层）的第4层，钢混结构，建筑面积138.17㎡，其中专有建筑面积114.03㎡，分摊建筑面积24.14㎡，规划与实际用途均为住宅。(以交付时实物现状为准)；浏览器补采</t>
        </is>
      </c>
      <c r="R75" s="20" t="inlineStr">
        <is>
          <t>https://sf-item.taobao.com/sf_item/1079760268881.htm</t>
        </is>
      </c>
    </row>
    <row r="76">
      <c r="A76" s="13" t="inlineStr">
        <is>
          <t>福建省</t>
        </is>
      </c>
      <c r="B76" s="13" t="inlineStr">
        <is>
          <t>泉州市</t>
        </is>
      </c>
      <c r="C76" s="13" t="inlineStr">
        <is>
          <t>鲤城区</t>
        </is>
      </c>
      <c r="D76" s="13" t="inlineStr">
        <is>
          <t>东海街道北星社区海星小区17号楼1604的房产</t>
        </is>
      </c>
      <c r="E76" s="13" t="inlineStr">
        <is>
          <t>海星小区</t>
        </is>
      </c>
      <c r="F76" s="13" t="inlineStr">
        <is>
          <t>住宅</t>
        </is>
      </c>
      <c r="G76" s="13" t="inlineStr">
        <is>
          <t>阿里资产</t>
        </is>
      </c>
      <c r="H76" s="13" t="inlineStr">
        <is>
          <t>一拍</t>
        </is>
      </c>
      <c r="I76" s="48" t="n">
        <v>46292.08333333334</v>
      </c>
      <c r="J76" s="13" t="inlineStr">
        <is>
          <t>即将开始</t>
        </is>
      </c>
      <c r="K76" s="13" t="inlineStr">
        <is>
          <t>南安市人民法院</t>
        </is>
      </c>
      <c r="L76" s="30" t="n">
        <v>159.18</v>
      </c>
      <c r="M76" s="33">
        <f>IF(AND(ISNUMBER(N76),ISNUMBER(L76),L76&gt;0),ROUND(N76/L76,2),"")</f>
        <v/>
      </c>
      <c r="N76" s="49" t="n">
        <v>1337112</v>
      </c>
      <c r="O76" s="49" t="n">
        <v>1910160</v>
      </c>
      <c r="P76" s="38">
        <f>IF(AND(ISNUMBER(N76),ISNUMBER(O76),O76&gt;0),N76/O76,"")</f>
        <v/>
      </c>
      <c r="Q76" s="20" t="inlineStr">
        <is>
          <t>本次补采未获取到面积证据，需人工复核；浏览器补采</t>
        </is>
      </c>
      <c r="R76" s="20" t="inlineStr">
        <is>
          <t>https://sf-item.taobao.com/sf_item/1077528230423.htm</t>
        </is>
      </c>
    </row>
    <row r="77">
      <c r="A77" s="13" t="inlineStr">
        <is>
          <t>福建省</t>
        </is>
      </c>
      <c r="B77" s="13" t="inlineStr">
        <is>
          <t>泉州市</t>
        </is>
      </c>
      <c r="C77" s="13" t="inlineStr">
        <is>
          <t>鲤城区</t>
        </is>
      </c>
      <c r="D77" s="13" t="inlineStr">
        <is>
          <t>常泰街道上村社区常泰南路99号8栋1705室房产</t>
        </is>
      </c>
      <c r="E77" s="13" t="inlineStr">
        <is>
          <t>商住小区</t>
        </is>
      </c>
      <c r="F77" s="13" t="inlineStr">
        <is>
          <t>住宅</t>
        </is>
      </c>
      <c r="G77" s="13" t="inlineStr">
        <is>
          <t>阿里资产</t>
        </is>
      </c>
      <c r="H77" s="13" t="inlineStr">
        <is>
          <t>二拍</t>
        </is>
      </c>
      <c r="I77" s="48" t="n">
        <v>46282.08333333334</v>
      </c>
      <c r="J77" s="13" t="inlineStr">
        <is>
          <t>即将开始</t>
        </is>
      </c>
      <c r="K77" s="13" t="inlineStr">
        <is>
          <t>安溪县人民法院</t>
        </is>
      </c>
      <c r="L77" s="30" t="n">
        <v>55.64</v>
      </c>
      <c r="M77" s="33">
        <f>IF(AND(ISNUMBER(N77),ISNUMBER(L77),L77&gt;0),ROUND(N77/L77,2),"")</f>
        <v/>
      </c>
      <c r="N77" s="49" t="n">
        <v>292000</v>
      </c>
      <c r="O77" s="49" t="n">
        <v>490066.25</v>
      </c>
      <c r="P77" s="38">
        <f>IF(AND(ISNUMBER(N77),ISNUMBER(O77),O77&gt;0),N77/O77,"")</f>
        <v/>
      </c>
      <c r="Q77" s="20" t="inlineStr">
        <is>
          <t>面积证据：标的物介绍 建筑面积 建筑面积：55.64㎡。；浏览器补采</t>
        </is>
      </c>
      <c r="R77" s="20" t="inlineStr">
        <is>
          <t>https://sf-item.taobao.com/sf_item/1076858171152.htm</t>
        </is>
      </c>
    </row>
    <row r="78">
      <c r="A78" s="13" t="inlineStr">
        <is>
          <t>福建省</t>
        </is>
      </c>
      <c r="B78" s="13" t="inlineStr">
        <is>
          <t>泉州市</t>
        </is>
      </c>
      <c r="C78" s="13" t="inlineStr">
        <is>
          <t>南安市</t>
        </is>
      </c>
      <c r="D78" s="13" t="inlineStr">
        <is>
          <t>柳城办事处外二环路柳湖花园小区1幢1层20号店的不动产</t>
        </is>
      </c>
      <c r="E78" s="13" t="inlineStr">
        <is>
          <t>柳湖花园小区</t>
        </is>
      </c>
      <c r="F78" s="13" t="inlineStr">
        <is>
          <t>商业</t>
        </is>
      </c>
      <c r="G78" s="13" t="inlineStr">
        <is>
          <t>阿里资产</t>
        </is>
      </c>
      <c r="H78" s="13" t="inlineStr">
        <is>
          <t>一拍</t>
        </is>
      </c>
      <c r="I78" s="48" t="n">
        <v>46292.08333333334</v>
      </c>
      <c r="J78" s="13" t="inlineStr">
        <is>
          <t>即将开始</t>
        </is>
      </c>
      <c r="K78" s="13" t="inlineStr">
        <is>
          <t>南安市人民法院</t>
        </is>
      </c>
      <c r="L78" s="30" t="n">
        <v>35.33</v>
      </c>
      <c r="M78" s="33">
        <f>IF(AND(ISNUMBER(N78),ISNUMBER(L78),L78&gt;0),ROUND(N78/L78,2),"")</f>
        <v/>
      </c>
      <c r="N78" s="49" t="n">
        <v>224140</v>
      </c>
      <c r="O78" s="49" t="n">
        <v>320200</v>
      </c>
      <c r="P78" s="38">
        <f>IF(AND(ISNUMBER(N78),ISNUMBER(O78),O78&gt;0),N78/O78,"")</f>
        <v/>
      </c>
      <c r="Q78" s="20" t="inlineStr">
        <is>
          <t>本次补采未获取到面积证据，需人工复核；浏览器补采</t>
        </is>
      </c>
      <c r="R78" s="20" t="inlineStr">
        <is>
          <t>https://sf-item.taobao.com/sf_item/1078571145234.htm</t>
        </is>
      </c>
    </row>
    <row r="79">
      <c r="A79" s="13" t="inlineStr">
        <is>
          <t>福建省</t>
        </is>
      </c>
      <c r="B79" s="13" t="inlineStr">
        <is>
          <t>泉州市</t>
        </is>
      </c>
      <c r="C79" s="13" t="inlineStr">
        <is>
          <t>泉州台商投资区</t>
        </is>
      </c>
      <c r="D79" s="13" t="inlineStr">
        <is>
          <t>田安路与丰泽街交叉口东南侧和昌花苑5号楼606</t>
        </is>
      </c>
      <c r="E79" s="13" t="inlineStr">
        <is>
          <t>和昌花苑</t>
        </is>
      </c>
      <c r="F79" s="13" t="inlineStr">
        <is>
          <t>商业</t>
        </is>
      </c>
      <c r="G79" s="13" t="inlineStr">
        <is>
          <t>阿里资产</t>
        </is>
      </c>
      <c r="H79" s="13" t="inlineStr">
        <is>
          <t>一拍</t>
        </is>
      </c>
      <c r="I79" s="48" t="n">
        <v>46292.08333333334</v>
      </c>
      <c r="J79" s="13" t="inlineStr">
        <is>
          <t>即将开始</t>
        </is>
      </c>
      <c r="K79" s="13" t="inlineStr">
        <is>
          <t>泉州市丰泽区人民法院</t>
        </is>
      </c>
      <c r="L79" s="30" t="n">
        <v>137.53</v>
      </c>
      <c r="M79" s="33">
        <f>IF(AND(ISNUMBER(N79),ISNUMBER(L79),L79&gt;0),ROUND(N79/L79,2),"")</f>
        <v/>
      </c>
      <c r="N79" s="49" t="n">
        <v>1760000</v>
      </c>
      <c r="O79" s="49" t="n">
        <v>2200000</v>
      </c>
      <c r="P79" s="38">
        <f>IF(AND(ISNUMBER(N79),ISNUMBER(O79),O79&gt;0),N79/O79,"")</f>
        <v/>
      </c>
      <c r="Q79" s="20" t="inlineStr">
        <is>
          <t>本次补采未获取到面积证据，需人工复核；浏览器补采</t>
        </is>
      </c>
      <c r="R79" s="20" t="inlineStr">
        <is>
          <t>https://sf-item.taobao.com/sf_item/1076649915448.htm</t>
        </is>
      </c>
    </row>
    <row r="80">
      <c r="A80" s="13" t="inlineStr">
        <is>
          <t>福建省</t>
        </is>
      </c>
      <c r="B80" s="13" t="inlineStr">
        <is>
          <t>泉州市</t>
        </is>
      </c>
      <c r="C80" s="13" t="inlineStr">
        <is>
          <t>永春县</t>
        </is>
      </c>
      <c r="D80" s="13" t="inlineStr">
        <is>
          <t>址在永春县桃城镇北门街71号的不动产</t>
        </is>
      </c>
      <c r="E80" s="13" t="inlineStr">
        <is>
          <t>商住小区</t>
        </is>
      </c>
      <c r="F80" s="13" t="inlineStr">
        <is>
          <t>住宅</t>
        </is>
      </c>
      <c r="G80" s="13" t="inlineStr">
        <is>
          <t>阿里资产</t>
        </is>
      </c>
      <c r="H80" s="13" t="inlineStr">
        <is>
          <t>一拍</t>
        </is>
      </c>
      <c r="I80" s="48" t="n">
        <v>46294.08333333334</v>
      </c>
      <c r="J80" s="13" t="inlineStr">
        <is>
          <t>即将开始</t>
        </is>
      </c>
      <c r="K80" s="13" t="inlineStr">
        <is>
          <t>永春县人民法院</t>
        </is>
      </c>
      <c r="L80" s="30" t="n">
        <v>62</v>
      </c>
      <c r="M80" s="33">
        <f>IF(AND(ISNUMBER(N80),ISNUMBER(L80),L80&gt;0),ROUND(N80/L80,2),"")</f>
        <v/>
      </c>
      <c r="N80" s="49" t="n">
        <v>388150</v>
      </c>
      <c r="O80" s="49" t="n">
        <v>554500</v>
      </c>
      <c r="P80" s="38">
        <f>IF(AND(ISNUMBER(N80),ISNUMBER(O80),O80&gt;0),N80/O80,"")</f>
        <v/>
      </c>
      <c r="Q80" s="20" t="inlineStr">
        <is>
          <t>本次补采未获取到面积证据，需人工复核；浏览器补采</t>
        </is>
      </c>
      <c r="R80" s="20" t="inlineStr">
        <is>
          <t>https://sf-item.taobao.com/sf_item/1077723618848.htm</t>
        </is>
      </c>
    </row>
    <row r="81">
      <c r="A81" s="13" t="inlineStr">
        <is>
          <t>福建省</t>
        </is>
      </c>
      <c r="B81" s="13" t="inlineStr">
        <is>
          <t>福州市</t>
        </is>
      </c>
      <c r="C81" s="13" t="inlineStr">
        <is>
          <t>仓山区</t>
        </is>
      </c>
      <c r="D81" s="13" t="inlineStr">
        <is>
          <t>建新镇杨周路118号飞凤水岸2#楼104单元</t>
        </is>
      </c>
      <c r="E81" s="13" t="inlineStr">
        <is>
          <t>飞凤水岸</t>
        </is>
      </c>
      <c r="F81" s="13" t="inlineStr">
        <is>
          <t>住宅</t>
        </is>
      </c>
      <c r="G81" s="13" t="inlineStr">
        <is>
          <t>京东拍卖</t>
        </is>
      </c>
      <c r="H81" s="13" t="inlineStr">
        <is>
          <t>一拍</t>
        </is>
      </c>
      <c r="I81" s="48" t="n">
        <v>46294.41666666666</v>
      </c>
      <c r="J81" s="13" t="inlineStr">
        <is>
          <t>即将开始</t>
        </is>
      </c>
      <c r="K81" s="13" t="inlineStr">
        <is>
          <t>福州市鼓楼区人民法院</t>
        </is>
      </c>
      <c r="L81" s="30" t="n">
        <v>76.79000000000001</v>
      </c>
      <c r="M81" s="33">
        <f>IF(AND(ISNUMBER(N81),ISNUMBER(L81),L81&gt;0),ROUND(N81/L81,2),"")</f>
        <v/>
      </c>
      <c r="N81" s="49" t="n">
        <v>520000</v>
      </c>
      <c r="O81" s="49" t="n">
        <v>729505</v>
      </c>
      <c r="P81" s="38">
        <f>IF(AND(ISNUMBER(N81),ISNUMBER(O81),O81&gt;0),N81/O81,"")</f>
        <v/>
      </c>
      <c r="Q81" s="20" t="inlineStr">
        <is>
          <t>40</t>
        </is>
      </c>
      <c r="R81" s="20" t="inlineStr">
        <is>
          <t>https://paimai.jd.com/311167521</t>
        </is>
      </c>
    </row>
    <row r="82" hidden="1" s="22">
      <c r="A82" s="13" t="inlineStr">
        <is>
          <t>福建省</t>
        </is>
      </c>
      <c r="B82" s="13" t="inlineStr">
        <is>
          <t>福州市</t>
        </is>
      </c>
      <c r="C82" s="13" t="inlineStr">
        <is>
          <t>仓山区</t>
        </is>
      </c>
      <c r="D82" s="13" t="inlineStr">
        <is>
          <t>建新镇台屿路198号华威商贸中心（一期）6#楼9层23商务办公</t>
        </is>
      </c>
      <c r="E82" s="13" t="inlineStr">
        <is>
          <t>华威商贸中心</t>
        </is>
      </c>
      <c r="F82" s="13" t="inlineStr">
        <is>
          <t>商业</t>
        </is>
      </c>
      <c r="G82" s="13" t="inlineStr">
        <is>
          <t>京东拍卖</t>
        </is>
      </c>
      <c r="H82" s="13" t="inlineStr">
        <is>
          <t>一拍</t>
        </is>
      </c>
      <c r="I82" s="48" t="n">
        <v>46294.41666666666</v>
      </c>
      <c r="J82" s="13" t="inlineStr">
        <is>
          <t>即将开始</t>
        </is>
      </c>
      <c r="K82" s="13" t="inlineStr">
        <is>
          <t>福州市鼓楼区人民法院</t>
        </is>
      </c>
      <c r="L82" s="30" t="n">
        <v>69.76000000000001</v>
      </c>
      <c r="M82" s="33">
        <f>IF(AND(ISNUMBER(N82),ISNUMBER(L82),L82&gt;0),ROUND(N82/L82,2),"")</f>
        <v/>
      </c>
      <c r="N82" s="49" t="n">
        <v>430000</v>
      </c>
      <c r="O82" s="49" t="n">
        <v>606912</v>
      </c>
      <c r="P82" s="38">
        <f>IF(AND(ISNUMBER(N82),ISNUMBER(O82),O82&gt;0),N82/O82,"")</f>
        <v/>
      </c>
      <c r="Q82" s="20" t="inlineStr">
        <is>
          <t>40</t>
        </is>
      </c>
      <c r="R82" s="20" t="inlineStr">
        <is>
          <t>https://paimai.jd.com/311167747</t>
        </is>
      </c>
    </row>
    <row r="83" hidden="1" s="22">
      <c r="A83" s="13" t="inlineStr">
        <is>
          <t>福建省</t>
        </is>
      </c>
      <c r="B83" s="13" t="inlineStr">
        <is>
          <t>福州市</t>
        </is>
      </c>
      <c r="C83" s="13" t="inlineStr">
        <is>
          <t>仓山区</t>
        </is>
      </c>
      <c r="D83" s="13" t="inlineStr">
        <is>
          <t>下渡街道连江南路13号拓福广场3#塔楼16层32商务办公</t>
        </is>
      </c>
      <c r="E83" s="13" t="inlineStr">
        <is>
          <t>拓福广场</t>
        </is>
      </c>
      <c r="F83" s="13" t="inlineStr">
        <is>
          <t>住宅</t>
        </is>
      </c>
      <c r="G83" s="13" t="inlineStr">
        <is>
          <t>京东拍卖</t>
        </is>
      </c>
      <c r="H83" s="13" t="inlineStr">
        <is>
          <t>一拍</t>
        </is>
      </c>
      <c r="I83" s="48" t="n">
        <v>46294.41666666666</v>
      </c>
      <c r="J83" s="13" t="inlineStr">
        <is>
          <t>即将开始</t>
        </is>
      </c>
      <c r="K83" s="13" t="inlineStr">
        <is>
          <t>福州市鼓楼区人民法院</t>
        </is>
      </c>
      <c r="L83" s="30" t="n">
        <v>44.37</v>
      </c>
      <c r="M83" s="33">
        <f>IF(AND(ISNUMBER(N83),ISNUMBER(L83),L83&gt;0),ROUND(N83/L83,2),"")</f>
        <v/>
      </c>
      <c r="N83" s="49" t="n">
        <v>330000</v>
      </c>
      <c r="O83" s="49" t="n">
        <v>465885</v>
      </c>
      <c r="P83" s="38">
        <f>IF(AND(ISNUMBER(N83),ISNUMBER(O83),O83&gt;0),N83/O83,"")</f>
        <v/>
      </c>
      <c r="Q83" s="20" t="inlineStr">
        <is>
          <t>40</t>
        </is>
      </c>
      <c r="R83" s="20" t="inlineStr">
        <is>
          <t>https://paimai.jd.com/311169317</t>
        </is>
      </c>
    </row>
    <row r="84" hidden="1" s="22">
      <c r="A84" s="13" t="inlineStr">
        <is>
          <t>福建省</t>
        </is>
      </c>
      <c r="B84" s="13" t="inlineStr">
        <is>
          <t>福州市</t>
        </is>
      </c>
      <c r="C84" s="13" t="inlineStr">
        <is>
          <t>仓山区</t>
        </is>
      </c>
      <c r="D84" s="13" t="inlineStr">
        <is>
          <t>建新镇闽江大道21号状元山庄滨江丽景A区3#楼1601单元</t>
        </is>
      </c>
      <c r="E84" s="13" t="inlineStr">
        <is>
          <t>状元山庄</t>
        </is>
      </c>
      <c r="F84" s="13" t="inlineStr">
        <is>
          <t>住宅</t>
        </is>
      </c>
      <c r="G84" s="13" t="inlineStr">
        <is>
          <t>京东拍卖</t>
        </is>
      </c>
      <c r="H84" s="13" t="inlineStr">
        <is>
          <t>一拍</t>
        </is>
      </c>
      <c r="I84" s="48" t="n">
        <v>46293.41666666666</v>
      </c>
      <c r="J84" s="13" t="inlineStr">
        <is>
          <t>即将开始</t>
        </is>
      </c>
      <c r="K84" s="13" t="inlineStr">
        <is>
          <t>福建省福州市中级人民法院</t>
        </is>
      </c>
      <c r="L84" s="30" t="n">
        <v>176.18</v>
      </c>
      <c r="M84" s="33">
        <f>IF(AND(ISNUMBER(N84),ISNUMBER(L84),L84&gt;0),ROUND(N84/L84,2),"")</f>
        <v/>
      </c>
      <c r="N84" s="49" t="n">
        <v>1652076</v>
      </c>
      <c r="O84" s="49" t="n">
        <v>2360107.28</v>
      </c>
      <c r="P84" s="38">
        <f>IF(AND(ISNUMBER(N84),ISNUMBER(O84),O84&gt;0),N84/O84,"")</f>
        <v/>
      </c>
      <c r="Q84" s="20" t="inlineStr">
        <is>
          <t>40</t>
        </is>
      </c>
      <c r="R84" s="20" t="inlineStr">
        <is>
          <t>https://paimai.jd.com/311167556</t>
        </is>
      </c>
    </row>
    <row r="85" hidden="1" s="22">
      <c r="A85" s="13" t="inlineStr">
        <is>
          <t>福建省</t>
        </is>
      </c>
      <c r="B85" s="13" t="inlineStr">
        <is>
          <t>福州市</t>
        </is>
      </c>
      <c r="C85" s="13" t="inlineStr">
        <is>
          <t>仓山区</t>
        </is>
      </c>
      <c r="D85" s="13" t="inlineStr">
        <is>
          <t>下渡街道南江滨西大道96号港头商务中心（港头广场）2#楼22层23商务办公</t>
        </is>
      </c>
      <c r="E85" s="13" t="inlineStr">
        <is>
          <t>港头商务中心</t>
        </is>
      </c>
      <c r="F85" s="13" t="inlineStr">
        <is>
          <t>商业</t>
        </is>
      </c>
      <c r="G85" s="13" t="inlineStr">
        <is>
          <t>京东拍卖</t>
        </is>
      </c>
      <c r="H85" s="13" t="inlineStr">
        <is>
          <t>一拍</t>
        </is>
      </c>
      <c r="I85" s="48" t="n">
        <v>46291.41666666666</v>
      </c>
      <c r="J85" s="13" t="inlineStr">
        <is>
          <t>即将开始</t>
        </is>
      </c>
      <c r="K85" s="13" t="inlineStr">
        <is>
          <t>平潭县人民法院</t>
        </is>
      </c>
      <c r="L85" s="30" t="n">
        <v>48.15</v>
      </c>
      <c r="M85" s="33">
        <f>IF(AND(ISNUMBER(N85),ISNUMBER(L85),L85&gt;0),ROUND(N85/L85,2),"")</f>
        <v/>
      </c>
      <c r="N85" s="49" t="n">
        <v>368501</v>
      </c>
      <c r="O85" s="49" t="n">
        <v>460627.25</v>
      </c>
      <c r="P85" s="38">
        <f>IF(AND(ISNUMBER(N85),ISNUMBER(O85),O85&gt;0),N85/O85,"")</f>
        <v/>
      </c>
      <c r="Q85" s="20" t="inlineStr">
        <is>
          <t>40</t>
        </is>
      </c>
      <c r="R85" s="20" t="inlineStr">
        <is>
          <t>https://paimai.jd.com/311168524</t>
        </is>
      </c>
    </row>
    <row r="86" hidden="1" s="22">
      <c r="A86" s="13" t="inlineStr">
        <is>
          <t>福建省</t>
        </is>
      </c>
      <c r="B86" s="13" t="inlineStr">
        <is>
          <t>福州市</t>
        </is>
      </c>
      <c r="C86" s="13" t="inlineStr">
        <is>
          <t>仓山区</t>
        </is>
      </c>
      <c r="D86" s="13" t="inlineStr">
        <is>
          <t>下渡街道南江滨西大道96号港头商务中心（港头广场）2#楼22层17商务办公</t>
        </is>
      </c>
      <c r="E86" s="13" t="inlineStr">
        <is>
          <t>港头商务中心</t>
        </is>
      </c>
      <c r="F86" s="13" t="inlineStr">
        <is>
          <t>住宅</t>
        </is>
      </c>
      <c r="G86" s="13" t="inlineStr">
        <is>
          <t>京东拍卖</t>
        </is>
      </c>
      <c r="H86" s="13" t="inlineStr">
        <is>
          <t>一拍</t>
        </is>
      </c>
      <c r="I86" s="48" t="n">
        <v>46291.41666666666</v>
      </c>
      <c r="J86" s="13" t="inlineStr">
        <is>
          <t>即将开始</t>
        </is>
      </c>
      <c r="K86" s="13" t="inlineStr">
        <is>
          <t>平潭县人民法院</t>
        </is>
      </c>
      <c r="L86" s="30" t="n">
        <v>47.07</v>
      </c>
      <c r="M86" s="33">
        <f>IF(AND(ISNUMBER(N86),ISNUMBER(L86),L86&gt;0),ROUND(N86/L86,2),"")</f>
        <v/>
      </c>
      <c r="N86" s="49" t="n">
        <v>360236</v>
      </c>
      <c r="O86" s="49" t="n">
        <v>450295.25</v>
      </c>
      <c r="P86" s="38">
        <f>IF(AND(ISNUMBER(N86),ISNUMBER(O86),O86&gt;0),N86/O86,"")</f>
        <v/>
      </c>
      <c r="Q86" s="20" t="inlineStr">
        <is>
          <t>40</t>
        </is>
      </c>
      <c r="R86" s="20" t="inlineStr">
        <is>
          <t>https://paimai.jd.com/311168529</t>
        </is>
      </c>
    </row>
    <row r="87" hidden="1" s="22">
      <c r="A87" s="13" t="inlineStr">
        <is>
          <t>福建省</t>
        </is>
      </c>
      <c r="B87" s="13" t="inlineStr">
        <is>
          <t>福州市</t>
        </is>
      </c>
      <c r="C87" s="13" t="inlineStr">
        <is>
          <t>仓山区</t>
        </is>
      </c>
      <c r="D87" s="13" t="inlineStr">
        <is>
          <t>下渡街道南江滨西大道96号港头商务中心（港头广场）2#楼22层19商务办公</t>
        </is>
      </c>
      <c r="E87" s="13" t="inlineStr">
        <is>
          <t>港头商务中心</t>
        </is>
      </c>
      <c r="F87" s="13" t="inlineStr">
        <is>
          <t>住宅</t>
        </is>
      </c>
      <c r="G87" s="13" t="inlineStr">
        <is>
          <t>京东拍卖</t>
        </is>
      </c>
      <c r="H87" s="13" t="inlineStr">
        <is>
          <t>一拍</t>
        </is>
      </c>
      <c r="I87" s="48" t="n">
        <v>46291.41666666666</v>
      </c>
      <c r="J87" s="13" t="inlineStr">
        <is>
          <t>即将开始</t>
        </is>
      </c>
      <c r="K87" s="13" t="inlineStr">
        <is>
          <t>平潭县人民法院</t>
        </is>
      </c>
      <c r="L87" s="30" t="n">
        <v>48.15</v>
      </c>
      <c r="M87" s="33">
        <f>IF(AND(ISNUMBER(N87),ISNUMBER(L87),L87&gt;0),ROUND(N87/L87,2),"")</f>
        <v/>
      </c>
      <c r="N87" s="49" t="n">
        <v>368501</v>
      </c>
      <c r="O87" s="49" t="n">
        <v>460627.25</v>
      </c>
      <c r="P87" s="38">
        <f>IF(AND(ISNUMBER(N87),ISNUMBER(O87),O87&gt;0),N87/O87,"")</f>
        <v/>
      </c>
      <c r="Q87" s="20" t="inlineStr">
        <is>
          <t>40</t>
        </is>
      </c>
      <c r="R87" s="20" t="inlineStr">
        <is>
          <t>https://paimai.jd.com/311168537</t>
        </is>
      </c>
    </row>
    <row r="88" hidden="1" s="22">
      <c r="A88" s="13" t="inlineStr">
        <is>
          <t>福建省</t>
        </is>
      </c>
      <c r="B88" s="13" t="inlineStr">
        <is>
          <t>福州市</t>
        </is>
      </c>
      <c r="C88" s="13" t="inlineStr">
        <is>
          <t>仓山区</t>
        </is>
      </c>
      <c r="D88" s="13" t="inlineStr">
        <is>
          <t>下渡街道南江滨西大道96号港头商务中心（港头广场）2#楼22层18商务办公</t>
        </is>
      </c>
      <c r="E88" s="13" t="inlineStr">
        <is>
          <t>港头商务中心</t>
        </is>
      </c>
      <c r="F88" s="13" t="inlineStr">
        <is>
          <t>住宅</t>
        </is>
      </c>
      <c r="G88" s="13" t="inlineStr">
        <is>
          <t>京东拍卖</t>
        </is>
      </c>
      <c r="H88" s="13" t="inlineStr">
        <is>
          <t>一拍</t>
        </is>
      </c>
      <c r="I88" s="48" t="n">
        <v>46291.41666666666</v>
      </c>
      <c r="J88" s="13" t="inlineStr">
        <is>
          <t>即将开始</t>
        </is>
      </c>
      <c r="K88" s="13" t="inlineStr">
        <is>
          <t>平潭县人民法院</t>
        </is>
      </c>
      <c r="L88" s="30" t="n">
        <v>59.97</v>
      </c>
      <c r="M88" s="33">
        <f>IF(AND(ISNUMBER(N88),ISNUMBER(L88),L88&gt;0),ROUND(N88/L88,2),"")</f>
        <v/>
      </c>
      <c r="N88" s="49" t="n">
        <v>571466</v>
      </c>
      <c r="O88" s="49" t="n">
        <v>714332.9</v>
      </c>
      <c r="P88" s="38">
        <f>IF(AND(ISNUMBER(N88),ISNUMBER(O88),O88&gt;0),N88/O88,"")</f>
        <v/>
      </c>
      <c r="Q88" s="20" t="inlineStr">
        <is>
          <t>40</t>
        </is>
      </c>
      <c r="R88" s="20" t="inlineStr">
        <is>
          <t>https://paimai.jd.com/311168549</t>
        </is>
      </c>
    </row>
    <row r="89" hidden="1" s="22">
      <c r="A89" s="13" t="inlineStr">
        <is>
          <t>福建省</t>
        </is>
      </c>
      <c r="B89" s="13" t="inlineStr">
        <is>
          <t>福州市</t>
        </is>
      </c>
      <c r="C89" s="13" t="inlineStr">
        <is>
          <t>仓山区</t>
        </is>
      </c>
      <c r="D89" s="13" t="inlineStr">
        <is>
          <t>下渡街道南江滨西大道96号港头商务中心（港头广场）2#楼22层20商务办公</t>
        </is>
      </c>
      <c r="E89" s="13" t="inlineStr">
        <is>
          <t>港头商务中心</t>
        </is>
      </c>
      <c r="F89" s="13" t="inlineStr">
        <is>
          <t>住宅</t>
        </is>
      </c>
      <c r="G89" s="13" t="inlineStr">
        <is>
          <t>京东拍卖</t>
        </is>
      </c>
      <c r="H89" s="13" t="inlineStr">
        <is>
          <t>一拍</t>
        </is>
      </c>
      <c r="I89" s="48" t="n">
        <v>46291.41666666666</v>
      </c>
      <c r="J89" s="13" t="inlineStr">
        <is>
          <t>即将开始</t>
        </is>
      </c>
      <c r="K89" s="13" t="inlineStr">
        <is>
          <t>平潭县人民法院</t>
        </is>
      </c>
      <c r="L89" s="30" t="n">
        <v>48.15</v>
      </c>
      <c r="M89" s="33">
        <f>IF(AND(ISNUMBER(N89),ISNUMBER(L89),L89&gt;0),ROUND(N89/L89,2),"")</f>
        <v/>
      </c>
      <c r="N89" s="49" t="n">
        <v>368501</v>
      </c>
      <c r="O89" s="49" t="n">
        <v>460627.25</v>
      </c>
      <c r="P89" s="38">
        <f>IF(AND(ISNUMBER(N89),ISNUMBER(O89),O89&gt;0),N89/O89,"")</f>
        <v/>
      </c>
      <c r="Q89" s="20" t="inlineStr">
        <is>
          <t>40</t>
        </is>
      </c>
      <c r="R89" s="20" t="inlineStr">
        <is>
          <t>https://paimai.jd.com/311168564</t>
        </is>
      </c>
    </row>
    <row r="90" hidden="1" s="22">
      <c r="A90" s="13" t="inlineStr">
        <is>
          <t>福建省</t>
        </is>
      </c>
      <c r="B90" s="13" t="inlineStr">
        <is>
          <t>福州市</t>
        </is>
      </c>
      <c r="C90" s="13" t="inlineStr">
        <is>
          <t>仓山区</t>
        </is>
      </c>
      <c r="D90" s="13" t="inlineStr">
        <is>
          <t>下渡街道南江滨西大道96号港头商务中心（港头广场）2#楼22层25商务办公</t>
        </is>
      </c>
      <c r="E90" s="13" t="inlineStr">
        <is>
          <t>港头商务中心</t>
        </is>
      </c>
      <c r="F90" s="13" t="inlineStr">
        <is>
          <t>住宅</t>
        </is>
      </c>
      <c r="G90" s="13" t="inlineStr">
        <is>
          <t>京东拍卖</t>
        </is>
      </c>
      <c r="H90" s="13" t="inlineStr">
        <is>
          <t>一拍</t>
        </is>
      </c>
      <c r="I90" s="48" t="n">
        <v>46291.41666666666</v>
      </c>
      <c r="J90" s="13" t="inlineStr">
        <is>
          <t>即将开始</t>
        </is>
      </c>
      <c r="K90" s="13" t="inlineStr">
        <is>
          <t>平潭县人民法院</t>
        </is>
      </c>
      <c r="L90" s="30" t="n">
        <v>48.15</v>
      </c>
      <c r="M90" s="33">
        <f>IF(AND(ISNUMBER(N90),ISNUMBER(L90),L90&gt;0),ROUND(N90/L90,2),"")</f>
        <v/>
      </c>
      <c r="N90" s="49" t="n">
        <v>368501</v>
      </c>
      <c r="O90" s="49" t="n">
        <v>460627.25</v>
      </c>
      <c r="P90" s="38">
        <f>IF(AND(ISNUMBER(N90),ISNUMBER(O90),O90&gt;0),N90/O90,"")</f>
        <v/>
      </c>
      <c r="Q90" s="20" t="inlineStr">
        <is>
          <t>40</t>
        </is>
      </c>
      <c r="R90" s="20" t="inlineStr">
        <is>
          <t>https://paimai.jd.com/311168565</t>
        </is>
      </c>
    </row>
    <row r="91" hidden="1" s="22">
      <c r="A91" s="13" t="inlineStr">
        <is>
          <t>福建省</t>
        </is>
      </c>
      <c r="B91" s="13" t="inlineStr">
        <is>
          <t>福州市</t>
        </is>
      </c>
      <c r="C91" s="13" t="inlineStr">
        <is>
          <t>仓山区</t>
        </is>
      </c>
      <c r="D91" s="13" t="inlineStr">
        <is>
          <t>下渡街道南江滨西大道96号港头商务中心（港头广场）2#楼22层16商务办公</t>
        </is>
      </c>
      <c r="E91" s="13" t="inlineStr">
        <is>
          <t>港头商务中心</t>
        </is>
      </c>
      <c r="F91" s="13" t="inlineStr">
        <is>
          <t>住宅</t>
        </is>
      </c>
      <c r="G91" s="13" t="inlineStr">
        <is>
          <t>京东拍卖</t>
        </is>
      </c>
      <c r="H91" s="13" t="inlineStr">
        <is>
          <t>一拍</t>
        </is>
      </c>
      <c r="I91" s="48" t="n">
        <v>46291.41666666666</v>
      </c>
      <c r="J91" s="13" t="inlineStr">
        <is>
          <t>即将开始</t>
        </is>
      </c>
      <c r="K91" s="13" t="inlineStr">
        <is>
          <t>平潭县人民法院</t>
        </is>
      </c>
      <c r="L91" s="30" t="n">
        <v>48.1</v>
      </c>
      <c r="M91" s="33">
        <f>IF(AND(ISNUMBER(N91),ISNUMBER(L91),L91&gt;0),ROUND(N91/L91,2),"")</f>
        <v/>
      </c>
      <c r="N91" s="49" t="n">
        <v>368119</v>
      </c>
      <c r="O91" s="49" t="n">
        <v>460149</v>
      </c>
      <c r="P91" s="38">
        <f>IF(AND(ISNUMBER(N91),ISNUMBER(O91),O91&gt;0),N91/O91,"")</f>
        <v/>
      </c>
      <c r="Q91" s="20" t="inlineStr">
        <is>
          <t>40</t>
        </is>
      </c>
      <c r="R91" s="20" t="inlineStr">
        <is>
          <t>https://paimai.jd.com/311168579</t>
        </is>
      </c>
    </row>
    <row r="92" hidden="1" s="22">
      <c r="A92" s="13" t="inlineStr">
        <is>
          <t>福建省</t>
        </is>
      </c>
      <c r="B92" s="13" t="inlineStr">
        <is>
          <t>福州市</t>
        </is>
      </c>
      <c r="C92" s="13" t="inlineStr">
        <is>
          <t>仓山区</t>
        </is>
      </c>
      <c r="D92" s="13" t="inlineStr">
        <is>
          <t>建新镇花溪南路33号华润橡树湾家园（三期）51#楼108单元</t>
        </is>
      </c>
      <c r="E92" s="13" t="inlineStr">
        <is>
          <t>华润橡树湾家园</t>
        </is>
      </c>
      <c r="F92" s="13" t="inlineStr">
        <is>
          <t>住宅</t>
        </is>
      </c>
      <c r="G92" s="13" t="inlineStr">
        <is>
          <t>京东拍卖</t>
        </is>
      </c>
      <c r="H92" s="13" t="inlineStr">
        <is>
          <t>变卖</t>
        </is>
      </c>
      <c r="I92" s="48" t="n">
        <v>46279.41666666666</v>
      </c>
      <c r="J92" s="13" t="inlineStr">
        <is>
          <t>即将开始</t>
        </is>
      </c>
      <c r="K92" s="13" t="inlineStr">
        <is>
          <t>福州市台江区人民法院</t>
        </is>
      </c>
      <c r="L92" s="30" t="n">
        <v>92.56999999999999</v>
      </c>
      <c r="M92" s="33">
        <f>IF(AND(ISNUMBER(N92),ISNUMBER(L92),L92&gt;0),ROUND(N92/L92,2),"")</f>
        <v/>
      </c>
      <c r="N92" s="49" t="n">
        <v>984945</v>
      </c>
      <c r="O92" s="49" t="n">
        <v>1758830</v>
      </c>
      <c r="P92" s="38">
        <f>IF(AND(ISNUMBER(N92),ISNUMBER(O92),O92&gt;0),N92/O92,"")</f>
        <v/>
      </c>
      <c r="Q92" s="20" t="inlineStr">
        <is>
          <t>40</t>
        </is>
      </c>
      <c r="R92" s="20" t="inlineStr">
        <is>
          <t>https://paimai.jd.com/311169796</t>
        </is>
      </c>
    </row>
    <row r="93" hidden="1" s="22">
      <c r="A93" s="13" t="inlineStr">
        <is>
          <t>福建省</t>
        </is>
      </c>
      <c r="B93" s="13" t="inlineStr">
        <is>
          <t>福州市</t>
        </is>
      </c>
      <c r="C93" s="13" t="inlineStr">
        <is>
          <t>鼓楼区</t>
        </is>
      </c>
      <c r="D93" s="13" t="inlineStr">
        <is>
          <t>鼓西街道西环北路439号大梦山小区（原西门村大梦山安置房）7#楼1001单元</t>
        </is>
      </c>
      <c r="E93" s="13" t="inlineStr">
        <is>
          <t>大梦山小区</t>
        </is>
      </c>
      <c r="F93" s="13" t="inlineStr">
        <is>
          <t>住宅</t>
        </is>
      </c>
      <c r="G93" s="13" t="inlineStr">
        <is>
          <t>京东拍卖</t>
        </is>
      </c>
      <c r="H93" s="13" t="inlineStr">
        <is>
          <t>一拍</t>
        </is>
      </c>
      <c r="I93" s="48" t="n">
        <v>46292.41666666666</v>
      </c>
      <c r="J93" s="13" t="inlineStr">
        <is>
          <t>即将开始</t>
        </is>
      </c>
      <c r="K93" s="13" t="inlineStr">
        <is>
          <t>福州市台江区人民法院</t>
        </is>
      </c>
      <c r="L93" s="30" t="n">
        <v>129.19</v>
      </c>
      <c r="M93" s="33">
        <f>IF(AND(ISNUMBER(N93),ISNUMBER(L93),L93&gt;0),ROUND(N93/L93,2),"")</f>
        <v/>
      </c>
      <c r="N93" s="49" t="n">
        <v>2490164</v>
      </c>
      <c r="O93" s="49" t="n">
        <v>3557375.84</v>
      </c>
      <c r="P93" s="38">
        <f>IF(AND(ISNUMBER(N93),ISNUMBER(O93),O93&gt;0),N93/O93,"")</f>
        <v/>
      </c>
      <c r="Q93" s="20" t="inlineStr">
        <is>
          <t>40</t>
        </is>
      </c>
      <c r="R93" s="20" t="inlineStr">
        <is>
          <t>https://paimai.jd.com/311168731</t>
        </is>
      </c>
    </row>
    <row r="94" hidden="1" s="22">
      <c r="A94" s="13" t="inlineStr">
        <is>
          <t>福建省</t>
        </is>
      </c>
      <c r="B94" s="13" t="inlineStr">
        <is>
          <t>福州市</t>
        </is>
      </c>
      <c r="C94" s="13" t="inlineStr">
        <is>
          <t>晋安区</t>
        </is>
      </c>
      <c r="D94" s="13" t="inlineStr">
        <is>
          <t>象园街道晋连路19号世欧王庄城C-a4地块2#楼33层03、05、06办公</t>
        </is>
      </c>
      <c r="E94" s="13" t="inlineStr">
        <is>
          <t>世欧王庄城</t>
        </is>
      </c>
      <c r="F94" s="13" t="inlineStr">
        <is>
          <t>商业</t>
        </is>
      </c>
      <c r="G94" s="13" t="inlineStr">
        <is>
          <t>京东拍卖</t>
        </is>
      </c>
      <c r="H94" s="13" t="inlineStr">
        <is>
          <t>变卖</t>
        </is>
      </c>
      <c r="I94" s="48" t="n">
        <v>46279.41666666666</v>
      </c>
      <c r="J94" s="13" t="inlineStr">
        <is>
          <t>即将开始</t>
        </is>
      </c>
      <c r="K94" s="13" t="inlineStr">
        <is>
          <t>福州市台江区人民法院</t>
        </is>
      </c>
      <c r="L94" s="30" t="n">
        <v>152.32</v>
      </c>
      <c r="M94" s="33">
        <f>IF(AND(ISNUMBER(N94),ISNUMBER(L94),L94&gt;0),ROUND(N94/L94,2),"")</f>
        <v/>
      </c>
      <c r="N94" s="49" t="n">
        <v>938292</v>
      </c>
      <c r="O94" s="49" t="n">
        <v>1675520</v>
      </c>
      <c r="P94" s="38">
        <f>IF(AND(ISNUMBER(N94),ISNUMBER(O94),O94&gt;0),N94/O94,"")</f>
        <v/>
      </c>
      <c r="Q94" s="20" t="inlineStr">
        <is>
          <t>40</t>
        </is>
      </c>
      <c r="R94" s="20" t="inlineStr">
        <is>
          <t>https://paimai.jd.com/311169302</t>
        </is>
      </c>
    </row>
    <row r="95" hidden="1" s="22">
      <c r="A95" s="13" t="inlineStr">
        <is>
          <t>福建省</t>
        </is>
      </c>
      <c r="B95" s="13" t="inlineStr">
        <is>
          <t>福州市</t>
        </is>
      </c>
      <c r="C95" s="13" t="inlineStr">
        <is>
          <t>闽侯县</t>
        </is>
      </c>
      <c r="D95" s="13" t="inlineStr">
        <is>
          <t>南通镇南灵路100号福州世茂南通项目（现：世茂璀璨滨江小区）7#楼2603单元</t>
        </is>
      </c>
      <c r="E95" s="13" t="inlineStr">
        <is>
          <t>世茂璀璨滨江小区</t>
        </is>
      </c>
      <c r="F95" s="13" t="inlineStr">
        <is>
          <t>住宅</t>
        </is>
      </c>
      <c r="G95" s="13" t="inlineStr">
        <is>
          <t>京东拍卖</t>
        </is>
      </c>
      <c r="H95" s="13" t="inlineStr">
        <is>
          <t>一拍</t>
        </is>
      </c>
      <c r="I95" s="48" t="n">
        <v>46307.41666666666</v>
      </c>
      <c r="J95" s="13" t="inlineStr">
        <is>
          <t>即将开始</t>
        </is>
      </c>
      <c r="K95" s="13" t="inlineStr">
        <is>
          <t>福州市鼓楼区人民法院</t>
        </is>
      </c>
      <c r="L95" s="30" t="n">
        <v>88.89</v>
      </c>
      <c r="M95" s="33">
        <f>IF(AND(ISNUMBER(N95),ISNUMBER(L95),L95&gt;0),ROUND(N95/L95,2),"")</f>
        <v/>
      </c>
      <c r="N95" s="49" t="n">
        <v>270000</v>
      </c>
      <c r="O95" s="49" t="n">
        <v>380828.53</v>
      </c>
      <c r="P95" s="38">
        <f>IF(AND(ISNUMBER(N95),ISNUMBER(O95),O95&gt;0),N95/O95,"")</f>
        <v/>
      </c>
      <c r="Q95" s="20" t="inlineStr">
        <is>
          <t>40</t>
        </is>
      </c>
      <c r="R95" s="20" t="inlineStr">
        <is>
          <t>https://paimai.jd.com/311169240</t>
        </is>
      </c>
    </row>
    <row r="96" hidden="1" s="22">
      <c r="A96" s="13" t="inlineStr">
        <is>
          <t>福建省</t>
        </is>
      </c>
      <c r="B96" s="13" t="inlineStr">
        <is>
          <t>福州市</t>
        </is>
      </c>
      <c r="C96" s="13" t="inlineStr">
        <is>
          <t>闽侯县</t>
        </is>
      </c>
      <c r="D96" s="13" t="inlineStr">
        <is>
          <t>南通镇南灵路98号福晟钱隆樽品16#楼2304单元</t>
        </is>
      </c>
      <c r="E96" s="13" t="inlineStr">
        <is>
          <t>福晟钱隆樽品</t>
        </is>
      </c>
      <c r="F96" s="13" t="inlineStr">
        <is>
          <t>住宅</t>
        </is>
      </c>
      <c r="G96" s="13" t="inlineStr">
        <is>
          <t>京东拍卖</t>
        </is>
      </c>
      <c r="H96" s="13" t="inlineStr">
        <is>
          <t>一拍</t>
        </is>
      </c>
      <c r="I96" s="48" t="n">
        <v>46294.41666666666</v>
      </c>
      <c r="J96" s="13" t="inlineStr">
        <is>
          <t>即将开始</t>
        </is>
      </c>
      <c r="K96" s="13" t="inlineStr">
        <is>
          <t>福州市鼓楼区人民法院</t>
        </is>
      </c>
      <c r="L96" s="30" t="n">
        <v>88.76000000000001</v>
      </c>
      <c r="M96" s="33">
        <f>IF(AND(ISNUMBER(N96),ISNUMBER(L96),L96&gt;0),ROUND(N96/L96,2),"")</f>
        <v/>
      </c>
      <c r="N96" s="49" t="n">
        <v>320000</v>
      </c>
      <c r="O96" s="49" t="n">
        <v>452600.45</v>
      </c>
      <c r="P96" s="38">
        <f>IF(AND(ISNUMBER(N96),ISNUMBER(O96),O96&gt;0),N96/O96,"")</f>
        <v/>
      </c>
      <c r="Q96" s="20" t="inlineStr">
        <is>
          <t>40</t>
        </is>
      </c>
      <c r="R96" s="20" t="inlineStr">
        <is>
          <t>https://paimai.jd.com/311169248</t>
        </is>
      </c>
    </row>
    <row r="97" hidden="1" s="22">
      <c r="A97" s="13" t="inlineStr">
        <is>
          <t>福建省</t>
        </is>
      </c>
      <c r="B97" s="13" t="inlineStr">
        <is>
          <t>福州市</t>
        </is>
      </c>
      <c r="C97" s="13" t="inlineStr">
        <is>
          <t>闽侯县</t>
        </is>
      </c>
      <c r="D97" s="13" t="inlineStr">
        <is>
          <t>南通镇民生路8号泰禾南通首府3#楼2101单元</t>
        </is>
      </c>
      <c r="E97" s="13" t="inlineStr">
        <is>
          <t>泰禾南通首府</t>
        </is>
      </c>
      <c r="F97" s="13" t="inlineStr">
        <is>
          <t>住宅</t>
        </is>
      </c>
      <c r="G97" s="13" t="inlineStr">
        <is>
          <t>京东拍卖</t>
        </is>
      </c>
      <c r="H97" s="13" t="inlineStr">
        <is>
          <t>一拍</t>
        </is>
      </c>
      <c r="I97" s="48" t="n">
        <v>46294.41666666666</v>
      </c>
      <c r="J97" s="13" t="inlineStr">
        <is>
          <t>即将开始</t>
        </is>
      </c>
      <c r="K97" s="13" t="inlineStr">
        <is>
          <t>福州市仓山区人民法院</t>
        </is>
      </c>
      <c r="L97" s="30" t="n">
        <v>115.23</v>
      </c>
      <c r="M97" s="33">
        <f>IF(AND(ISNUMBER(N97),ISNUMBER(L97),L97&gt;0),ROUND(N97/L97,2),"")</f>
        <v/>
      </c>
      <c r="N97" s="49" t="n">
        <v>498163</v>
      </c>
      <c r="O97" s="49" t="n">
        <v>711660.48</v>
      </c>
      <c r="P97" s="38">
        <f>IF(AND(ISNUMBER(N97),ISNUMBER(O97),O97&gt;0),N97/O97,"")</f>
        <v/>
      </c>
      <c r="Q97" s="20" t="inlineStr">
        <is>
          <t>40</t>
        </is>
      </c>
      <c r="R97" s="20" t="inlineStr">
        <is>
          <t>https://paimai.jd.com/311170275</t>
        </is>
      </c>
    </row>
    <row r="98">
      <c r="A98" s="24" t="inlineStr">
        <is>
          <t>福建省</t>
        </is>
      </c>
      <c r="B98" s="24" t="inlineStr">
        <is>
          <t>福州市</t>
        </is>
      </c>
      <c r="C98" s="24" t="inlineStr">
        <is>
          <t>闽侯县</t>
        </is>
      </c>
      <c r="D98" s="24" t="inlineStr">
        <is>
          <t>上街镇源通东路198号阳光理想城三期1# 楼1519单元</t>
        </is>
      </c>
      <c r="E98" s="24" t="inlineStr">
        <is>
          <t>阳光理想城</t>
        </is>
      </c>
      <c r="F98" s="24" t="inlineStr">
        <is>
          <t>住宅</t>
        </is>
      </c>
      <c r="G98" s="24" t="inlineStr">
        <is>
          <t>京东拍卖</t>
        </is>
      </c>
      <c r="H98" s="24" t="inlineStr">
        <is>
          <t>一拍</t>
        </is>
      </c>
      <c r="I98" s="50" t="n">
        <v>46292.41666666666</v>
      </c>
      <c r="J98" s="24" t="inlineStr">
        <is>
          <t>即将开始</t>
        </is>
      </c>
      <c r="K98" s="24" t="inlineStr">
        <is>
          <t>福州市台江区人民法院</t>
        </is>
      </c>
      <c r="L98" s="51" t="n">
        <v>56.52</v>
      </c>
      <c r="M98" s="52">
        <f>IF(AND(ISNUMBER(N98),ISNUMBER(L98),L98&gt;0),ROUND(N98/L98,2),"")</f>
        <v/>
      </c>
      <c r="N98" s="53" t="n">
        <v>324039</v>
      </c>
      <c r="O98" s="53" t="n">
        <v>462912</v>
      </c>
      <c r="P98" s="54">
        <f>IF(AND(ISNUMBER(N98),ISNUMBER(O98),O98&gt;0),N98/O98,"")</f>
        <v/>
      </c>
      <c r="Q98" s="24" t="inlineStr">
        <is>
          <t>40</t>
        </is>
      </c>
      <c r="R98" s="24" t="inlineStr">
        <is>
          <t>https://paimai.jd.com/311168555</t>
        </is>
      </c>
    </row>
    <row r="99">
      <c r="A99" s="24" t="inlineStr">
        <is>
          <t>福建省</t>
        </is>
      </c>
      <c r="B99" s="24" t="inlineStr">
        <is>
          <t>福州市</t>
        </is>
      </c>
      <c r="C99" s="24" t="inlineStr">
        <is>
          <t>台江区</t>
        </is>
      </c>
      <c r="D99" s="24" t="inlineStr">
        <is>
          <t>鳌峰街道江滨中大道378号圣淘沙花园（现海润花园）28＃楼1101单元</t>
        </is>
      </c>
      <c r="E99" s="24" t="inlineStr">
        <is>
          <t>圣淘沙花园</t>
        </is>
      </c>
      <c r="F99" s="24" t="inlineStr">
        <is>
          <t>住宅</t>
        </is>
      </c>
      <c r="G99" s="24" t="inlineStr">
        <is>
          <t>京东拍卖</t>
        </is>
      </c>
      <c r="H99" s="24" t="inlineStr">
        <is>
          <t>一拍</t>
        </is>
      </c>
      <c r="I99" s="50" t="n">
        <v>46294.41666666666</v>
      </c>
      <c r="J99" s="24" t="inlineStr">
        <is>
          <t>即将开始</t>
        </is>
      </c>
      <c r="K99" s="24" t="inlineStr">
        <is>
          <t>福建省福州市中级人民法院</t>
        </is>
      </c>
      <c r="L99" s="51" t="n">
        <v>163.46</v>
      </c>
      <c r="M99" s="52">
        <f>IF(AND(ISNUMBER(N99),ISNUMBER(L99),L99&gt;0),ROUND(N99/L99,2),"")</f>
        <v/>
      </c>
      <c r="N99" s="53" t="n">
        <v>1793165</v>
      </c>
      <c r="O99" s="53" t="n">
        <v>2561663.79</v>
      </c>
      <c r="P99" s="54">
        <f>IF(AND(ISNUMBER(N99),ISNUMBER(O99),O99&gt;0),N99/O99,"")</f>
        <v/>
      </c>
      <c r="Q99" s="24" t="inlineStr">
        <is>
          <t>40</t>
        </is>
      </c>
      <c r="R99" s="24" t="inlineStr">
        <is>
          <t>https://paimai.jd.com/311167522</t>
        </is>
      </c>
    </row>
    <row r="100">
      <c r="A100" s="24" t="inlineStr">
        <is>
          <t>福建省</t>
        </is>
      </c>
      <c r="B100" s="24" t="inlineStr">
        <is>
          <t>福州市</t>
        </is>
      </c>
      <c r="C100" s="24" t="inlineStr">
        <is>
          <t>长乐区</t>
        </is>
      </c>
      <c r="D100" s="24" t="inlineStr">
        <is>
          <t>文武砂镇东湖·海西高新技术企业港软件开发基地（数字福建VR“双创”产业孵化基地）七期21#楼409研发设计</t>
        </is>
      </c>
      <c r="E100" s="24" t="inlineStr">
        <is>
          <t>东湖·海西高新技术企业港</t>
        </is>
      </c>
      <c r="F100" s="24" t="inlineStr">
        <is>
          <t>商业</t>
        </is>
      </c>
      <c r="G100" s="24" t="inlineStr">
        <is>
          <t>京东拍卖</t>
        </is>
      </c>
      <c r="H100" s="24" t="inlineStr">
        <is>
          <t>一拍</t>
        </is>
      </c>
      <c r="I100" s="50" t="n">
        <v>46292.41666666666</v>
      </c>
      <c r="J100" s="24" t="inlineStr">
        <is>
          <t>即将开始</t>
        </is>
      </c>
      <c r="K100" s="24" t="inlineStr">
        <is>
          <t>福州市台江区人民法院</t>
        </is>
      </c>
      <c r="L100" s="51" t="n">
        <v>91.13</v>
      </c>
      <c r="M100" s="52">
        <f>IF(AND(ISNUMBER(N100),ISNUMBER(L100),L100&gt;0),ROUND(N100/L100,2),"")</f>
        <v/>
      </c>
      <c r="N100" s="53" t="n">
        <v>438046</v>
      </c>
      <c r="O100" s="53" t="n">
        <v>625779</v>
      </c>
      <c r="P100" s="54">
        <f>IF(AND(ISNUMBER(N100),ISNUMBER(O100),O100&gt;0),N100/O100,"")</f>
        <v/>
      </c>
      <c r="Q100" s="24" t="inlineStr">
        <is>
          <t>40</t>
        </is>
      </c>
      <c r="R100" s="24" t="inlineStr">
        <is>
          <t>https://paimai.jd.com/311168590</t>
        </is>
      </c>
    </row>
    <row r="101">
      <c r="A101" s="24" t="inlineStr">
        <is>
          <t>福建省</t>
        </is>
      </c>
      <c r="B101" s="24" t="inlineStr">
        <is>
          <t>泉州市</t>
        </is>
      </c>
      <c r="C101" s="24" t="inlineStr">
        <is>
          <t>丰泽区</t>
        </is>
      </c>
      <c r="D101" s="24" t="inlineStr">
        <is>
          <t>鑫亿花苑2#-806号房产</t>
        </is>
      </c>
      <c r="E101" s="24" t="inlineStr">
        <is>
          <t>鑫亿花苑</t>
        </is>
      </c>
      <c r="F101" s="24" t="inlineStr">
        <is>
          <t>其他/待确认</t>
        </is>
      </c>
      <c r="G101" s="24" t="inlineStr">
        <is>
          <t>京东拍卖</t>
        </is>
      </c>
      <c r="H101" s="24" t="inlineStr">
        <is>
          <t>一拍</t>
        </is>
      </c>
      <c r="I101" s="50" t="n">
        <v>46294.41666666666</v>
      </c>
      <c r="J101" s="24" t="inlineStr">
        <is>
          <t>即将开始</t>
        </is>
      </c>
      <c r="K101" s="24" t="inlineStr">
        <is>
          <t>泉州市丰泽区人民法院</t>
        </is>
      </c>
      <c r="L101" s="51" t="n">
        <v>79.44</v>
      </c>
      <c r="M101" s="52">
        <f>IF(AND(ISNUMBER(N101),ISNUMBER(L101),L101&gt;0),ROUND(N101/L101,2),"")</f>
        <v/>
      </c>
      <c r="N101" s="53" t="n">
        <v>761000</v>
      </c>
      <c r="O101" s="53" t="n">
        <v>950700</v>
      </c>
      <c r="P101" s="54">
        <f>IF(AND(ISNUMBER(N101),ISNUMBER(O101),O101&gt;0),N101/O101,"")</f>
        <v/>
      </c>
      <c r="Q101" s="24" t="inlineStr">
        <is>
          <t>40</t>
        </is>
      </c>
      <c r="R101" s="24" t="inlineStr">
        <is>
          <t>https://paimai.jd.com/311168244</t>
        </is>
      </c>
    </row>
    <row r="102">
      <c r="A102" s="24" t="inlineStr">
        <is>
          <t>福建省</t>
        </is>
      </c>
      <c r="B102" s="24" t="inlineStr">
        <is>
          <t>泉州市</t>
        </is>
      </c>
      <c r="C102" s="24" t="inlineStr">
        <is>
          <t>丰泽区</t>
        </is>
      </c>
      <c r="D102" s="24" t="inlineStr">
        <is>
          <t>温陵路南段69号鲤城农机宿舍401室房产</t>
        </is>
      </c>
      <c r="E102" s="24" t="inlineStr">
        <is>
          <t>鲤城</t>
        </is>
      </c>
      <c r="F102" s="24" t="inlineStr">
        <is>
          <t>其他/待确认</t>
        </is>
      </c>
      <c r="G102" s="24" t="inlineStr">
        <is>
          <t>京东拍卖</t>
        </is>
      </c>
      <c r="H102" s="24" t="inlineStr">
        <is>
          <t>一拍</t>
        </is>
      </c>
      <c r="I102" s="50" t="n">
        <v>46294.41666666666</v>
      </c>
      <c r="J102" s="24" t="inlineStr">
        <is>
          <t>即将开始</t>
        </is>
      </c>
      <c r="K102" s="24" t="inlineStr">
        <is>
          <t>泉州市丰泽区人民法院</t>
        </is>
      </c>
      <c r="L102" s="51" t="n">
        <v>73.13</v>
      </c>
      <c r="M102" s="52">
        <f>IF(AND(ISNUMBER(N102),ISNUMBER(L102),L102&gt;0),ROUND(N102/L102,2),"")</f>
        <v/>
      </c>
      <c r="N102" s="53" t="n">
        <v>530000</v>
      </c>
      <c r="O102" s="53" t="n">
        <v>660000</v>
      </c>
      <c r="P102" s="54">
        <f>IF(AND(ISNUMBER(N102),ISNUMBER(O102),O102&gt;0),N102/O102,"")</f>
        <v/>
      </c>
      <c r="Q102" s="24" t="inlineStr">
        <is>
          <t>40</t>
        </is>
      </c>
      <c r="R102" s="24" t="inlineStr">
        <is>
          <t>https://paimai.jd.com/311168375</t>
        </is>
      </c>
    </row>
    <row r="103">
      <c r="A103" s="24" t="inlineStr">
        <is>
          <t>福建省</t>
        </is>
      </c>
      <c r="B103" s="24" t="inlineStr">
        <is>
          <t>泉州市</t>
        </is>
      </c>
      <c r="C103" s="24" t="inlineStr">
        <is>
          <t>丰泽区</t>
        </is>
      </c>
      <c r="D103" s="24" t="inlineStr">
        <is>
          <t>温陵南路汇金广场A807室</t>
        </is>
      </c>
      <c r="E103" s="24" t="inlineStr">
        <is>
          <t>汇金广场</t>
        </is>
      </c>
      <c r="F103" s="24" t="inlineStr">
        <is>
          <t>其他/待确认</t>
        </is>
      </c>
      <c r="G103" s="24" t="inlineStr">
        <is>
          <t>京东拍卖</t>
        </is>
      </c>
      <c r="H103" s="24" t="inlineStr">
        <is>
          <t>变卖</t>
        </is>
      </c>
      <c r="I103" s="50" t="n">
        <v>46276.41666666666</v>
      </c>
      <c r="J103" s="24" t="inlineStr">
        <is>
          <t>即将开始</t>
        </is>
      </c>
      <c r="K103" s="24" t="inlineStr">
        <is>
          <t>泉州市丰泽区人民法院</t>
        </is>
      </c>
      <c r="L103" s="51" t="n">
        <v>57.78</v>
      </c>
      <c r="M103" s="52">
        <f>IF(AND(ISNUMBER(N103),ISNUMBER(L103),L103&gt;0),ROUND(N103/L103,2),"")</f>
        <v/>
      </c>
      <c r="N103" s="53" t="n">
        <v>475200</v>
      </c>
      <c r="O103" s="53" t="n">
        <v>741400</v>
      </c>
      <c r="P103" s="54">
        <f>IF(AND(ISNUMBER(N103),ISNUMBER(O103),O103&gt;0),N103/O103,"")</f>
        <v/>
      </c>
      <c r="Q103" s="24" t="inlineStr">
        <is>
          <t>40</t>
        </is>
      </c>
      <c r="R103" s="24" t="inlineStr">
        <is>
          <t>https://paimai.jd.com/311167576</t>
        </is>
      </c>
    </row>
    <row r="104">
      <c r="A104" s="24" t="inlineStr">
        <is>
          <t>福建省</t>
        </is>
      </c>
      <c r="B104" s="24" t="inlineStr">
        <is>
          <t>泉州市</t>
        </is>
      </c>
      <c r="C104" s="24" t="inlineStr">
        <is>
          <t>晋江市</t>
        </is>
      </c>
      <c r="D104" s="24" t="inlineStr">
        <is>
          <t>深沪镇码头大路东侧联溢小区房产</t>
        </is>
      </c>
      <c r="E104" s="24" t="inlineStr">
        <is>
          <t>联溢小区</t>
        </is>
      </c>
      <c r="F104" s="24" t="inlineStr">
        <is>
          <t>其他/待确认</t>
        </is>
      </c>
      <c r="G104" s="24" t="inlineStr">
        <is>
          <t>京东拍卖</t>
        </is>
      </c>
      <c r="H104" s="24" t="inlineStr">
        <is>
          <t>一拍</t>
        </is>
      </c>
      <c r="I104" s="50" t="n">
        <v>46291.41666666666</v>
      </c>
      <c r="J104" s="24" t="inlineStr">
        <is>
          <t>即将开始</t>
        </is>
      </c>
      <c r="K104" s="24" t="inlineStr">
        <is>
          <t>江苏省宿迁市中级人民法院</t>
        </is>
      </c>
      <c r="L104" s="51" t="n">
        <v>516.96</v>
      </c>
      <c r="M104" s="52">
        <f>IF(AND(ISNUMBER(N104),ISNUMBER(L104),L104&gt;0),ROUND(N104/L104,2),"")</f>
        <v/>
      </c>
      <c r="N104" s="53" t="n">
        <v>3330614.21</v>
      </c>
      <c r="O104" s="53" t="n">
        <v>3330614.21</v>
      </c>
      <c r="P104" s="54">
        <f>IF(AND(ISNUMBER(N104),ISNUMBER(O104),O104&gt;0),N104/O104,"")</f>
        <v/>
      </c>
      <c r="Q104" s="24" t="inlineStr">
        <is>
          <t>40</t>
        </is>
      </c>
      <c r="R104" s="24" t="inlineStr">
        <is>
          <t>https://paimai.jd.com/311168142</t>
        </is>
      </c>
    </row>
    <row r="105">
      <c r="A105" s="24" t="inlineStr">
        <is>
          <t>福建省</t>
        </is>
      </c>
      <c r="B105" s="24" t="inlineStr">
        <is>
          <t>泉州市</t>
        </is>
      </c>
      <c r="C105" s="24" t="inlineStr">
        <is>
          <t>晋江市</t>
        </is>
      </c>
      <c r="D105" s="24" t="inlineStr">
        <is>
          <t>泉安中路599号浔兴·翰林春天11幢（中央公寓）-1721的不动产</t>
        </is>
      </c>
      <c r="E105" s="24" t="inlineStr">
        <is>
          <t>浔兴·翰林春天</t>
        </is>
      </c>
      <c r="F105" s="24" t="inlineStr">
        <is>
          <t>其他/待确认</t>
        </is>
      </c>
      <c r="G105" s="24" t="inlineStr">
        <is>
          <t>京东拍卖</t>
        </is>
      </c>
      <c r="H105" s="24" t="inlineStr">
        <is>
          <t>变卖</t>
        </is>
      </c>
      <c r="I105" s="50" t="n">
        <v>46279.41666666666</v>
      </c>
      <c r="J105" s="24" t="inlineStr">
        <is>
          <t>即将开始</t>
        </is>
      </c>
      <c r="K105" s="24" t="inlineStr">
        <is>
          <t>福建省泉州市中级人民法院</t>
        </is>
      </c>
      <c r="L105" s="51" t="n">
        <v>50.56</v>
      </c>
      <c r="M105" s="52">
        <f>IF(AND(ISNUMBER(N105),ISNUMBER(L105),L105&gt;0),ROUND(N105/L105,2),"")</f>
        <v/>
      </c>
      <c r="N105" s="53" t="n">
        <v>510000</v>
      </c>
      <c r="O105" s="53" t="n">
        <v>896110.14</v>
      </c>
      <c r="P105" s="54">
        <f>IF(AND(ISNUMBER(N105),ISNUMBER(O105),O105&gt;0),N105/O105,"")</f>
        <v/>
      </c>
      <c r="Q105" s="24" t="inlineStr">
        <is>
          <t>40</t>
        </is>
      </c>
      <c r="R105" s="24" t="inlineStr">
        <is>
          <t>https://paimai.jd.com/311169262</t>
        </is>
      </c>
    </row>
    <row r="106">
      <c r="A106" s="24" t="inlineStr">
        <is>
          <t>福建省</t>
        </is>
      </c>
      <c r="B106" s="24" t="inlineStr">
        <is>
          <t>泉州市</t>
        </is>
      </c>
      <c r="C106" s="24" t="inlineStr">
        <is>
          <t>晋江市</t>
        </is>
      </c>
      <c r="D106" s="24" t="inlineStr">
        <is>
          <t>磁灶镇泉州出口加工区盛联国际华府1幢2905住宅</t>
        </is>
      </c>
      <c r="E106" s="24" t="inlineStr">
        <is>
          <t>盛联国际华府</t>
        </is>
      </c>
      <c r="F106" s="24" t="inlineStr">
        <is>
          <t>其他/待确认</t>
        </is>
      </c>
      <c r="G106" s="24" t="inlineStr">
        <is>
          <t>京东拍卖</t>
        </is>
      </c>
      <c r="H106" s="24" t="inlineStr">
        <is>
          <t>二拍</t>
        </is>
      </c>
      <c r="I106" s="50" t="n">
        <v>46279.41666666666</v>
      </c>
      <c r="J106" s="24" t="inlineStr">
        <is>
          <t>即将开始</t>
        </is>
      </c>
      <c r="K106" s="24" t="inlineStr">
        <is>
          <t>晋江市人民法院</t>
        </is>
      </c>
      <c r="L106" s="51" t="n">
        <v>131.11</v>
      </c>
      <c r="M106" s="52">
        <f>IF(AND(ISNUMBER(N106),ISNUMBER(L106),L106&gt;0),ROUND(N106/L106,2),"")</f>
        <v/>
      </c>
      <c r="N106" s="53" t="n">
        <v>422331</v>
      </c>
      <c r="O106" s="53" t="n">
        <v>754161</v>
      </c>
      <c r="P106" s="54">
        <f>IF(AND(ISNUMBER(N106),ISNUMBER(O106),O106&gt;0),N106/O106,"")</f>
        <v/>
      </c>
      <c r="Q106" s="24" t="inlineStr">
        <is>
          <t>40</t>
        </is>
      </c>
      <c r="R106" s="24" t="inlineStr">
        <is>
          <t>https://paimai.jd.com/311170472</t>
        </is>
      </c>
    </row>
    <row r="107">
      <c r="A107" s="24" t="inlineStr">
        <is>
          <t>福建省</t>
        </is>
      </c>
      <c r="B107" s="24" t="inlineStr">
        <is>
          <t>泉州市</t>
        </is>
      </c>
      <c r="C107" s="24" t="inlineStr">
        <is>
          <t>晋江市</t>
        </is>
      </c>
      <c r="D107" s="24" t="inlineStr">
        <is>
          <t>陈埭镇河滨路霞埭花苑2幢403室住宅</t>
        </is>
      </c>
      <c r="E107" s="24" t="inlineStr">
        <is>
          <t>霞埭花苑</t>
        </is>
      </c>
      <c r="F107" s="24" t="inlineStr">
        <is>
          <t>其他/待确认</t>
        </is>
      </c>
      <c r="G107" s="24" t="inlineStr">
        <is>
          <t>京东拍卖</t>
        </is>
      </c>
      <c r="H107" s="24" t="inlineStr">
        <is>
          <t>二拍</t>
        </is>
      </c>
      <c r="I107" s="50" t="n">
        <v>46279.41666666666</v>
      </c>
      <c r="J107" s="24" t="inlineStr">
        <is>
          <t>即将开始</t>
        </is>
      </c>
      <c r="K107" s="24" t="inlineStr">
        <is>
          <t>晋江市人民法院</t>
        </is>
      </c>
      <c r="L107" s="51" t="n">
        <v>134.55</v>
      </c>
      <c r="M107" s="52">
        <f>IF(AND(ISNUMBER(N107),ISNUMBER(L107),L107&gt;0),ROUND(N107/L107,2),"")</f>
        <v/>
      </c>
      <c r="N107" s="53" t="n">
        <v>499002</v>
      </c>
      <c r="O107" s="53" t="n">
        <v>891074</v>
      </c>
      <c r="P107" s="54">
        <f>IF(AND(ISNUMBER(N107),ISNUMBER(O107),O107&gt;0),N107/O107,"")</f>
        <v/>
      </c>
      <c r="Q107" s="24" t="inlineStr">
        <is>
          <t>40</t>
        </is>
      </c>
      <c r="R107" s="24" t="inlineStr">
        <is>
          <t>https://paimai.jd.com/311170507</t>
        </is>
      </c>
    </row>
    <row r="108">
      <c r="A108" s="24" t="inlineStr">
        <is>
          <t>福建省</t>
        </is>
      </c>
      <c r="B108" s="24" t="inlineStr">
        <is>
          <t>泉州市</t>
        </is>
      </c>
      <c r="C108" s="24" t="inlineStr">
        <is>
          <t>晋江市</t>
        </is>
      </c>
      <c r="D108" s="24" t="inlineStr">
        <is>
          <t>紫帽镇综合旅游开发区紫湖国际高尔夫山庄紫云庭紫辰路4幢607室的不动产</t>
        </is>
      </c>
      <c r="E108" s="24" t="inlineStr">
        <is>
          <t>紫湖国际高尔夫山庄</t>
        </is>
      </c>
      <c r="F108" s="24" t="inlineStr">
        <is>
          <t>其他/待确认</t>
        </is>
      </c>
      <c r="G108" s="24" t="inlineStr">
        <is>
          <t>京东拍卖</t>
        </is>
      </c>
      <c r="H108" s="24" t="inlineStr">
        <is>
          <t>二拍</t>
        </is>
      </c>
      <c r="I108" s="50" t="n">
        <v>46276.41666666666</v>
      </c>
      <c r="J108" s="24" t="inlineStr">
        <is>
          <t>即将开始</t>
        </is>
      </c>
      <c r="K108" s="24" t="inlineStr">
        <is>
          <t>福建省泉州市中级人民法院</t>
        </is>
      </c>
      <c r="L108" s="51" t="n">
        <v>108.08</v>
      </c>
      <c r="M108" s="52">
        <f>IF(AND(ISNUMBER(N108),ISNUMBER(L108),L108&gt;0),ROUND(N108/L108,2),"")</f>
        <v/>
      </c>
      <c r="N108" s="53" t="n">
        <v>472000</v>
      </c>
      <c r="O108" s="53" t="n">
        <v>841259</v>
      </c>
      <c r="P108" s="54">
        <f>IF(AND(ISNUMBER(N108),ISNUMBER(O108),O108&gt;0),N108/O108,"")</f>
        <v/>
      </c>
      <c r="Q108" s="24" t="inlineStr">
        <is>
          <t>40</t>
        </is>
      </c>
      <c r="R108" s="24" t="inlineStr">
        <is>
          <t>https://paimai.jd.com/311167081</t>
        </is>
      </c>
    </row>
    <row r="109">
      <c r="A109" s="24" t="inlineStr">
        <is>
          <t>福建省</t>
        </is>
      </c>
      <c r="B109" s="24" t="inlineStr">
        <is>
          <t>泉州市</t>
        </is>
      </c>
      <c r="C109" s="24" t="inlineStr">
        <is>
          <t>晋江市</t>
        </is>
      </c>
      <c r="D109" s="24" t="inlineStr">
        <is>
          <t>梅岭街道长兴路报业小区1幢1009室</t>
        </is>
      </c>
      <c r="E109" s="24" t="inlineStr">
        <is>
          <t>报业小区</t>
        </is>
      </c>
      <c r="F109" s="24" t="inlineStr">
        <is>
          <t>其他/待确认</t>
        </is>
      </c>
      <c r="G109" s="24" t="inlineStr">
        <is>
          <t>京东拍卖</t>
        </is>
      </c>
      <c r="H109" s="24" t="inlineStr">
        <is>
          <t>二拍</t>
        </is>
      </c>
      <c r="I109" s="50" t="n">
        <v>46276.41666666666</v>
      </c>
      <c r="J109" s="24" t="inlineStr">
        <is>
          <t>即将开始</t>
        </is>
      </c>
      <c r="K109" s="24" t="inlineStr">
        <is>
          <t>泉州市丰泽区人民法院</t>
        </is>
      </c>
      <c r="L109" s="51" t="n">
        <v>31.8</v>
      </c>
      <c r="M109" s="52">
        <f>IF(AND(ISNUMBER(N109),ISNUMBER(L109),L109&gt;0),ROUND(N109/L109,2),"")</f>
        <v/>
      </c>
      <c r="N109" s="53" t="n">
        <v>168689</v>
      </c>
      <c r="O109" s="53" t="n">
        <v>263576.3</v>
      </c>
      <c r="P109" s="54">
        <f>IF(AND(ISNUMBER(N109),ISNUMBER(O109),O109&gt;0),N109/O109,"")</f>
        <v/>
      </c>
      <c r="Q109" s="24" t="inlineStr">
        <is>
          <t>40</t>
        </is>
      </c>
      <c r="R109" s="24" t="inlineStr">
        <is>
          <t>https://paimai.jd.com/311167682</t>
        </is>
      </c>
    </row>
    <row r="110">
      <c r="A110" s="24" t="inlineStr">
        <is>
          <t>福建省</t>
        </is>
      </c>
      <c r="B110" s="24" t="inlineStr">
        <is>
          <t>泉州市</t>
        </is>
      </c>
      <c r="C110" s="24" t="inlineStr">
        <is>
          <t>鲤城区</t>
        </is>
      </c>
      <c r="D110" s="24" t="inlineStr">
        <is>
          <t>江南新区繁荣大道西南侧新天·湖郡苑3-2号楼3302</t>
        </is>
      </c>
      <c r="E110" s="24" t="inlineStr">
        <is>
          <t>新天·湖郡苑</t>
        </is>
      </c>
      <c r="F110" s="24" t="inlineStr">
        <is>
          <t>住宅</t>
        </is>
      </c>
      <c r="G110" s="24" t="inlineStr">
        <is>
          <t>京东拍卖</t>
        </is>
      </c>
      <c r="H110" s="24" t="inlineStr">
        <is>
          <t>二拍</t>
        </is>
      </c>
      <c r="I110" s="50" t="n">
        <v>46276.41666666666</v>
      </c>
      <c r="J110" s="24" t="inlineStr">
        <is>
          <t>即将开始</t>
        </is>
      </c>
      <c r="K110" s="24" t="inlineStr">
        <is>
          <t>福建省泉州市中级人民法院</t>
        </is>
      </c>
      <c r="L110" s="51" t="n">
        <v>175.63</v>
      </c>
      <c r="M110" s="52">
        <f>IF(AND(ISNUMBER(N110),ISNUMBER(L110),L110&gt;0),ROUND(N110/L110,2),"")</f>
        <v/>
      </c>
      <c r="N110" s="53" t="n">
        <v>1557000</v>
      </c>
      <c r="O110" s="53" t="n">
        <v>2779810.52</v>
      </c>
      <c r="P110" s="54">
        <f>IF(AND(ISNUMBER(N110),ISNUMBER(O110),O110&gt;0),N110/O110,"")</f>
        <v/>
      </c>
      <c r="Q110" s="24" t="inlineStr">
        <is>
          <t>40</t>
        </is>
      </c>
      <c r="R110" s="24" t="inlineStr">
        <is>
          <t>https://paimai.jd.com/311166770</t>
        </is>
      </c>
    </row>
    <row r="111">
      <c r="A111" s="24" t="inlineStr">
        <is>
          <t>福建省</t>
        </is>
      </c>
      <c r="B111" s="24" t="inlineStr">
        <is>
          <t>泉州市</t>
        </is>
      </c>
      <c r="C111" s="24" t="inlineStr">
        <is>
          <t>鲤城区</t>
        </is>
      </c>
      <c r="D111" s="24" t="inlineStr">
        <is>
          <t>温陵路192-212号华友公司宿舍4#203</t>
        </is>
      </c>
      <c r="E111" s="24" t="inlineStr">
        <is>
          <t>华友公司宿舍</t>
        </is>
      </c>
      <c r="F111" s="24" t="inlineStr">
        <is>
          <t>其他/待确认</t>
        </is>
      </c>
      <c r="G111" s="24" t="inlineStr">
        <is>
          <t>京东拍卖</t>
        </is>
      </c>
      <c r="H111" s="24" t="inlineStr">
        <is>
          <t>变卖</t>
        </is>
      </c>
      <c r="I111" s="50" t="n">
        <v>46276.41666666666</v>
      </c>
      <c r="J111" s="24" t="inlineStr">
        <is>
          <t>即将开始</t>
        </is>
      </c>
      <c r="K111" s="24" t="inlineStr">
        <is>
          <t>泉州市丰泽区人民法院</t>
        </is>
      </c>
      <c r="L111" s="51" t="n">
        <v>179.07</v>
      </c>
      <c r="M111" s="52">
        <f>IF(AND(ISNUMBER(N111),ISNUMBER(L111),L111&gt;0),ROUND(N111/L111,2),"")</f>
        <v/>
      </c>
      <c r="N111" s="53" t="n">
        <v>1642400</v>
      </c>
      <c r="O111" s="53" t="n">
        <v>2565400</v>
      </c>
      <c r="P111" s="54">
        <f>IF(AND(ISNUMBER(N111),ISNUMBER(O111),O111&gt;0),N111/O111,"")</f>
        <v/>
      </c>
      <c r="Q111" s="24" t="inlineStr">
        <is>
          <t>40</t>
        </is>
      </c>
      <c r="R111" s="24" t="inlineStr">
        <is>
          <t>https://paimai.jd.com/311168299</t>
        </is>
      </c>
    </row>
    <row r="112">
      <c r="A112" s="24" t="inlineStr">
        <is>
          <t>福建省</t>
        </is>
      </c>
      <c r="B112" s="24" t="inlineStr">
        <is>
          <t>泉州市</t>
        </is>
      </c>
      <c r="C112" s="24" t="inlineStr">
        <is>
          <t>洛江区</t>
        </is>
      </c>
      <c r="D112" s="24" t="inlineStr">
        <is>
          <t>安泰路162号嘉琳广场18幢2112室</t>
        </is>
      </c>
      <c r="E112" s="24" t="inlineStr">
        <is>
          <t>嘉琳广场</t>
        </is>
      </c>
      <c r="F112" s="24" t="inlineStr">
        <is>
          <t>住宅</t>
        </is>
      </c>
      <c r="G112" s="24" t="inlineStr">
        <is>
          <t>京东拍卖</t>
        </is>
      </c>
      <c r="H112" s="24" t="inlineStr">
        <is>
          <t>一拍</t>
        </is>
      </c>
      <c r="I112" s="50" t="n">
        <v>46293.41666666666</v>
      </c>
      <c r="J112" s="24" t="inlineStr">
        <is>
          <t>即将开始</t>
        </is>
      </c>
      <c r="K112" s="24" t="inlineStr">
        <is>
          <t>福建省泉州市中级人民法院</t>
        </is>
      </c>
      <c r="L112" s="51" t="n">
        <v>78.44</v>
      </c>
      <c r="M112" s="52">
        <f>IF(AND(ISNUMBER(N112),ISNUMBER(L112),L112&gt;0),ROUND(N112/L112,2),"")</f>
        <v/>
      </c>
      <c r="N112" s="53" t="n">
        <v>384000</v>
      </c>
      <c r="O112" s="53" t="n">
        <v>547706.55</v>
      </c>
      <c r="P112" s="54">
        <f>IF(AND(ISNUMBER(N112),ISNUMBER(O112),O112&gt;0),N112/O112,"")</f>
        <v/>
      </c>
      <c r="Q112" s="24" t="inlineStr">
        <is>
          <t>40</t>
        </is>
      </c>
      <c r="R112" s="24" t="inlineStr">
        <is>
          <t>https://paimai.jd.com/311166784</t>
        </is>
      </c>
    </row>
    <row r="113">
      <c r="A113" s="24" t="inlineStr">
        <is>
          <t>福建省</t>
        </is>
      </c>
      <c r="B113" s="24" t="inlineStr">
        <is>
          <t>泉州市</t>
        </is>
      </c>
      <c r="C113" s="24" t="inlineStr">
        <is>
          <t>洛江区</t>
        </is>
      </c>
      <c r="D113" s="24" t="inlineStr">
        <is>
          <t>万兴街与安达路交叉口汇龙大江盛世小区A区3号楼209住宅</t>
        </is>
      </c>
      <c r="E113" s="24" t="inlineStr">
        <is>
          <t>汇龙大江盛世</t>
        </is>
      </c>
      <c r="F113" s="24" t="inlineStr">
        <is>
          <t>其他/待确认</t>
        </is>
      </c>
      <c r="G113" s="24" t="inlineStr">
        <is>
          <t>京东拍卖</t>
        </is>
      </c>
      <c r="H113" s="24" t="inlineStr">
        <is>
          <t>二拍</t>
        </is>
      </c>
      <c r="I113" s="50" t="n">
        <v>46279.41666666666</v>
      </c>
      <c r="J113" s="24" t="inlineStr">
        <is>
          <t>即将开始</t>
        </is>
      </c>
      <c r="K113" s="24" t="inlineStr">
        <is>
          <t>晋江市人民法院</t>
        </is>
      </c>
      <c r="L113" s="51" t="n">
        <v>100.13</v>
      </c>
      <c r="M113" s="52">
        <f>IF(AND(ISNUMBER(N113),ISNUMBER(L113),L113&gt;0),ROUND(N113/L113,2),"")</f>
        <v/>
      </c>
      <c r="N113" s="53" t="n">
        <v>779412</v>
      </c>
      <c r="O113" s="53" t="n">
        <v>1391807</v>
      </c>
      <c r="P113" s="54">
        <f>IF(AND(ISNUMBER(N113),ISNUMBER(O113),O113&gt;0),N113/O113,"")</f>
        <v/>
      </c>
      <c r="Q113" s="24" t="inlineStr">
        <is>
          <t>40</t>
        </is>
      </c>
      <c r="R113" s="24" t="inlineStr">
        <is>
          <t>https://paimai.jd.com/311170372</t>
        </is>
      </c>
    </row>
    <row r="114">
      <c r="A114" s="24" t="inlineStr">
        <is>
          <t>福建省</t>
        </is>
      </c>
      <c r="B114" s="24" t="inlineStr">
        <is>
          <t>泉州市</t>
        </is>
      </c>
      <c r="C114" s="24" t="inlineStr">
        <is>
          <t>南安市</t>
        </is>
      </c>
      <c r="D114" s="24" t="inlineStr">
        <is>
          <t>石井镇雄风路177号碧海蓝天12号楼3层301室</t>
        </is>
      </c>
      <c r="E114" s="24" t="inlineStr">
        <is>
          <t>碧海蓝天</t>
        </is>
      </c>
      <c r="F114" s="24" t="inlineStr">
        <is>
          <t>其他/待确认</t>
        </is>
      </c>
      <c r="G114" s="24" t="inlineStr">
        <is>
          <t>京东拍卖</t>
        </is>
      </c>
      <c r="H114" s="24" t="inlineStr">
        <is>
          <t>一拍</t>
        </is>
      </c>
      <c r="I114" s="50" t="n">
        <v>46293.41666666666</v>
      </c>
      <c r="J114" s="24" t="inlineStr">
        <is>
          <t>即将开始</t>
        </is>
      </c>
      <c r="K114" s="24" t="inlineStr">
        <is>
          <t>福建省泉州市中级人民法院</t>
        </is>
      </c>
      <c r="L114" s="51" t="n">
        <v>133.18</v>
      </c>
      <c r="M114" s="52">
        <f>IF(AND(ISNUMBER(N114),ISNUMBER(L114),L114&gt;0),ROUND(N114/L114,2),"")</f>
        <v/>
      </c>
      <c r="N114" s="53" t="n">
        <v>388000</v>
      </c>
      <c r="O114" s="53" t="n">
        <v>554105</v>
      </c>
      <c r="P114" s="54">
        <f>IF(AND(ISNUMBER(N114),ISNUMBER(O114),O114&gt;0),N114/O114,"")</f>
        <v/>
      </c>
      <c r="Q114" s="24" t="inlineStr">
        <is>
          <t>40</t>
        </is>
      </c>
      <c r="R114" s="24" t="inlineStr">
        <is>
          <t>https://paimai.jd.com/311169812</t>
        </is>
      </c>
    </row>
    <row r="115">
      <c r="A115" s="24" t="inlineStr">
        <is>
          <t>福建省</t>
        </is>
      </c>
      <c r="B115" s="24" t="inlineStr">
        <is>
          <t>泉州市</t>
        </is>
      </c>
      <c r="C115" s="24" t="inlineStr">
        <is>
          <t>南安市</t>
        </is>
      </c>
      <c r="D115" s="24" t="inlineStr">
        <is>
          <t>水头镇联合一路1号海峡1号2号楼33层3302室的房产</t>
        </is>
      </c>
      <c r="E115" s="24" t="inlineStr">
        <is>
          <t>海峡1号</t>
        </is>
      </c>
      <c r="F115" s="24" t="inlineStr">
        <is>
          <t>其他/待确认</t>
        </is>
      </c>
      <c r="G115" s="24" t="inlineStr">
        <is>
          <t>京东拍卖</t>
        </is>
      </c>
      <c r="H115" s="24" t="inlineStr">
        <is>
          <t>一拍</t>
        </is>
      </c>
      <c r="I115" s="50" t="n">
        <v>46292.41666666666</v>
      </c>
      <c r="J115" s="24" t="inlineStr">
        <is>
          <t>即将开始</t>
        </is>
      </c>
      <c r="K115" s="24" t="inlineStr">
        <is>
          <t>南安市人民法院</t>
        </is>
      </c>
      <c r="L115" s="51" t="n">
        <v>87.58</v>
      </c>
      <c r="M115" s="52">
        <f>IF(AND(ISNUMBER(N115),ISNUMBER(L115),L115&gt;0),ROUND(N115/L115,2),"")</f>
        <v/>
      </c>
      <c r="N115" s="53" t="n">
        <v>462422.4</v>
      </c>
      <c r="O115" s="53" t="n">
        <v>578028</v>
      </c>
      <c r="P115" s="54">
        <f>IF(AND(ISNUMBER(N115),ISNUMBER(O115),O115&gt;0),N115/O115,"")</f>
        <v/>
      </c>
      <c r="Q115" s="24" t="inlineStr">
        <is>
          <t>40</t>
        </is>
      </c>
      <c r="R115" s="24" t="inlineStr">
        <is>
          <t>https://paimai.jd.com/311166963</t>
        </is>
      </c>
    </row>
    <row r="116">
      <c r="A116" s="25" t="inlineStr">
        <is>
          <t>福建省</t>
        </is>
      </c>
      <c r="B116" s="25" t="inlineStr">
        <is>
          <t>泉州市</t>
        </is>
      </c>
      <c r="C116" s="25" t="inlineStr">
        <is>
          <t>南安市</t>
        </is>
      </c>
      <c r="D116" s="25" t="inlineStr">
        <is>
          <t>水头镇海联大道50号中骏•璟峰7号楼13层1301室的房产</t>
        </is>
      </c>
      <c r="E116" s="25" t="inlineStr">
        <is>
          <t>中骏·璟峰</t>
        </is>
      </c>
      <c r="F116" s="25" t="inlineStr">
        <is>
          <t>其他/待确认</t>
        </is>
      </c>
      <c r="G116" s="25" t="inlineStr">
        <is>
          <t>京东拍卖</t>
        </is>
      </c>
      <c r="H116" s="25" t="inlineStr">
        <is>
          <t>一拍</t>
        </is>
      </c>
      <c r="I116" s="55" t="n">
        <v>46292.41666666666</v>
      </c>
      <c r="J116" s="25" t="inlineStr">
        <is>
          <t>即将开始</t>
        </is>
      </c>
      <c r="K116" s="25" t="inlineStr">
        <is>
          <t>南安市人民法院</t>
        </is>
      </c>
      <c r="L116" s="56" t="n">
        <v>108.13</v>
      </c>
      <c r="M116" s="57">
        <f>IF(AND(ISNUMBER(N116),ISNUMBER(L116),L116&gt;0),ROUND(N116/L116,2),"")</f>
        <v/>
      </c>
      <c r="N116" s="58" t="n">
        <v>615000</v>
      </c>
      <c r="O116" s="58" t="n">
        <v>767723</v>
      </c>
      <c r="P116" s="59">
        <f>IF(AND(ISNUMBER(N116),ISNUMBER(O116),O116&gt;0),N116/O116,"")</f>
        <v/>
      </c>
      <c r="Q116" s="25" t="inlineStr">
        <is>
          <t>40</t>
        </is>
      </c>
      <c r="R116" s="25" t="inlineStr">
        <is>
          <t>https://paimai.jd.com/311167599</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54"/>
  <sheetViews>
    <sheetView showGridLines="0" workbookViewId="0">
      <selection activeCell="A1" sqref="A1"/>
    </sheetView>
  </sheetViews>
  <sheetFormatPr baseColWidth="8" defaultColWidth="9" defaultRowHeight="13.5"/>
  <cols>
    <col width="10" customWidth="1" style="22" min="1" max="2"/>
    <col width="11" customWidth="1" style="22" min="3" max="3"/>
    <col width="42" customWidth="1" style="22" min="4" max="4"/>
    <col width="24" customWidth="1" style="22" min="5" max="5"/>
    <col width="10" customWidth="1" style="22" min="6" max="6"/>
    <col width="11" customWidth="1" style="22" min="7" max="7"/>
    <col width="10" customWidth="1" style="22" min="8" max="8"/>
    <col width="11" customWidth="1" style="22" min="9" max="9"/>
    <col width="14" customWidth="1" style="22" min="10" max="10"/>
    <col width="23" customWidth="1" style="22" min="11" max="11"/>
    <col width="12" customWidth="1" style="22" min="12" max="12"/>
    <col width="16" customWidth="1" style="22" min="13" max="13"/>
    <col width="14" customWidth="1" style="22" min="14" max="14"/>
    <col width="15" customWidth="1" style="22" min="15" max="15"/>
    <col width="12" customWidth="1" style="22" min="16" max="16"/>
    <col width="14" customWidth="1" style="22" min="17" max="17"/>
    <col width="12" customWidth="1" style="22" min="18" max="18"/>
    <col width="14" customWidth="1" style="22" min="19" max="19"/>
    <col width="12" customWidth="1" style="22" min="20" max="21"/>
    <col width="32" customWidth="1" style="22" min="22" max="22"/>
    <col width="48" customWidth="1" style="22" min="23" max="23"/>
  </cols>
  <sheetData>
    <row r="1" ht="28" customHeight="1" s="22">
      <c r="A1" s="1" t="inlineStr">
        <is>
          <t>所在省份</t>
        </is>
      </c>
      <c r="B1" s="1" t="inlineStr">
        <is>
          <t>城市</t>
        </is>
      </c>
      <c r="C1" s="1" t="inlineStr">
        <is>
          <t>区域</t>
        </is>
      </c>
      <c r="D1" s="1" t="inlineStr">
        <is>
          <t>标的名称</t>
        </is>
      </c>
      <c r="E1" s="1" t="inlineStr">
        <is>
          <t>小区名称（仅供参考）</t>
        </is>
      </c>
      <c r="F1" s="1" t="inlineStr">
        <is>
          <t>标的类型</t>
        </is>
      </c>
      <c r="G1" s="1" t="inlineStr">
        <is>
          <t>平台</t>
        </is>
      </c>
      <c r="H1" s="1" t="inlineStr">
        <is>
          <t>发拍次数</t>
        </is>
      </c>
      <c r="I1" s="1" t="inlineStr">
        <is>
          <t>拍卖时间</t>
        </is>
      </c>
      <c r="J1" s="1" t="inlineStr">
        <is>
          <t>是否成交</t>
        </is>
      </c>
      <c r="K1" s="1" t="inlineStr">
        <is>
          <t>处置法院</t>
        </is>
      </c>
      <c r="L1" s="1" t="inlineStr">
        <is>
          <t>面积/㎡</t>
        </is>
      </c>
      <c r="M1" s="1" t="inlineStr">
        <is>
          <t>起拍单价-元/㎡</t>
        </is>
      </c>
      <c r="N1" s="1" t="inlineStr">
        <is>
          <t>起拍价格</t>
        </is>
      </c>
      <c r="O1" s="1" t="inlineStr">
        <is>
          <t>评估价</t>
        </is>
      </c>
      <c r="P1" s="1" t="inlineStr">
        <is>
          <t>折扣率(%)</t>
        </is>
      </c>
      <c r="Q1" s="1" t="inlineStr">
        <is>
          <t>成交金额</t>
        </is>
      </c>
      <c r="R1" s="1" t="inlineStr">
        <is>
          <t>溢价率</t>
        </is>
      </c>
      <c r="S1" s="1" t="inlineStr">
        <is>
          <t>成交单价</t>
        </is>
      </c>
      <c r="T1" s="1" t="inlineStr">
        <is>
          <t>竞买记录</t>
        </is>
      </c>
      <c r="U1" s="1" t="inlineStr">
        <is>
          <t>报名人数</t>
        </is>
      </c>
      <c r="V1" s="1" t="inlineStr">
        <is>
          <t>备注</t>
        </is>
      </c>
      <c r="W1" s="1" t="inlineStr">
        <is>
          <t>网站链接</t>
        </is>
      </c>
    </row>
    <row r="2">
      <c r="A2" s="13" t="inlineStr">
        <is>
          <t>福建省</t>
        </is>
      </c>
      <c r="B2" s="13" t="inlineStr">
        <is>
          <t>福州市</t>
        </is>
      </c>
      <c r="C2" s="13" t="inlineStr">
        <is>
          <t>仓山区</t>
        </is>
      </c>
      <c r="D2" s="13" t="inlineStr">
        <is>
          <t>建新镇花溪南路28号橘园洲C地块E-17#楼101复式单元与套内家电家具等物品房产</t>
        </is>
      </c>
      <c r="E2" s="13" t="inlineStr">
        <is>
          <t>橘园洲</t>
        </is>
      </c>
      <c r="F2" s="13" t="inlineStr">
        <is>
          <t>住宅</t>
        </is>
      </c>
      <c r="G2" s="13" t="inlineStr">
        <is>
          <t>阿里资产</t>
        </is>
      </c>
      <c r="H2" s="13" t="inlineStr">
        <is>
          <t>二拍</t>
        </is>
      </c>
      <c r="I2" s="60" t="n">
        <v>46261.10105324074</v>
      </c>
      <c r="J2" s="13" t="inlineStr">
        <is>
          <t>是</t>
        </is>
      </c>
      <c r="K2" s="13" t="inlineStr">
        <is>
          <t>福州市马尾区人民法院</t>
        </is>
      </c>
      <c r="L2" s="29" t="n">
        <v>205.56</v>
      </c>
      <c r="M2" s="33">
        <f>IF(AND(ISNUMBER(N2),ISNUMBER(L2),L2&gt;0),ROUND(N2/L2,2),"")</f>
        <v/>
      </c>
      <c r="N2" s="49" t="n">
        <v>3298664.32</v>
      </c>
      <c r="O2" s="49" t="n">
        <v>5890472</v>
      </c>
      <c r="P2" s="38">
        <f>IF(AND(ISNUMBER(N2),ISNUMBER(O2),O2&gt;0),N2/O2,"")</f>
        <v/>
      </c>
      <c r="Q2" s="44" t="n">
        <v>3308664.32</v>
      </c>
      <c r="R2" s="38">
        <f>IF(AND(ISNUMBER(Q2),ISNUMBER(N2),N2&gt;0),(Q2-N2)/N2,"")</f>
        <v/>
      </c>
      <c r="S2" s="33">
        <f>IF(AND(ISNUMBER(Q2),ISNUMBER(L2),L2&gt;0),ROUND(Q2/L2,2),"")</f>
        <v/>
      </c>
      <c r="T2" s="47" t="n">
        <v>11</v>
      </c>
      <c r="U2" s="47" t="n">
        <v>2</v>
      </c>
      <c r="V2" s="13" t="inlineStr">
        <is>
          <t>面积证据：建筑面积：205.56平方米。以上房屋具体情况以实际为准，详见评估报告。；浏览器补采</t>
        </is>
      </c>
      <c r="W2" s="20" t="inlineStr">
        <is>
          <t>https://sf-item.taobao.com/sf_item/1071359675190.htm</t>
        </is>
      </c>
    </row>
    <row r="3">
      <c r="A3" s="13" t="inlineStr">
        <is>
          <t>福建省</t>
        </is>
      </c>
      <c r="B3" s="13" t="inlineStr">
        <is>
          <t>福州市</t>
        </is>
      </c>
      <c r="C3" s="13" t="inlineStr">
        <is>
          <t>福清市</t>
        </is>
      </c>
      <c r="D3" s="13" t="inlineStr">
        <is>
          <t>高山镇六一北路高华国际广场三层14商铺</t>
        </is>
      </c>
      <c r="E3" s="13" t="inlineStr">
        <is>
          <t>高华国际广场</t>
        </is>
      </c>
      <c r="F3" s="13" t="inlineStr">
        <is>
          <t>商业</t>
        </is>
      </c>
      <c r="G3" s="13" t="inlineStr">
        <is>
          <t>阿里资产</t>
        </is>
      </c>
      <c r="H3" s="13" t="inlineStr">
        <is>
          <t>二拍</t>
        </is>
      </c>
      <c r="I3" s="48" t="n">
        <v>46261.08333333334</v>
      </c>
      <c r="J3" s="13" t="inlineStr">
        <is>
          <t>是</t>
        </is>
      </c>
      <c r="K3" s="13" t="inlineStr">
        <is>
          <t>福清市人民法院</t>
        </is>
      </c>
      <c r="L3" s="30" t="n">
        <v>45.31</v>
      </c>
      <c r="M3" s="33">
        <f>IF(AND(ISNUMBER(N3),ISNUMBER(L3),L3&gt;0),ROUND(N3/L3,2),"")</f>
        <v/>
      </c>
      <c r="N3" s="49" t="n">
        <v>76800</v>
      </c>
      <c r="O3" s="49" t="n">
        <v>136200</v>
      </c>
      <c r="P3" s="38">
        <f>IF(AND(ISNUMBER(N3),ISNUMBER(O3),O3&gt;0),N3/O3,"")</f>
        <v/>
      </c>
      <c r="Q3" s="44" t="n">
        <v>76800</v>
      </c>
      <c r="R3" s="38">
        <f>IF(AND(ISNUMBER(Q3),ISNUMBER(N3),N3&gt;0),(Q3-N3)/N3,"")</f>
        <v/>
      </c>
      <c r="S3" s="33">
        <f>IF(AND(ISNUMBER(Q3),ISNUMBER(L3),L3&gt;0),ROUND(Q3/L3,2),"")</f>
        <v/>
      </c>
      <c r="T3" s="44" t="n">
        <v>1</v>
      </c>
      <c r="U3" s="44" t="n">
        <v>1</v>
      </c>
      <c r="V3" s="20" t="inlineStr">
        <is>
          <t>本次补采未获取到面积证据，需人工复核；浏览器补采</t>
        </is>
      </c>
      <c r="W3" s="20" t="inlineStr">
        <is>
          <t>https://sf-item.taobao.com/sf_item/1074247928979.htm</t>
        </is>
      </c>
    </row>
    <row r="4">
      <c r="A4" s="13" t="inlineStr">
        <is>
          <t>福建省</t>
        </is>
      </c>
      <c r="B4" s="13" t="inlineStr">
        <is>
          <t>福州市</t>
        </is>
      </c>
      <c r="C4" s="13" t="inlineStr">
        <is>
          <t>福清市</t>
        </is>
      </c>
      <c r="D4" s="13" t="inlineStr">
        <is>
          <t>阳下街道北林村香匯融江三期香澜16号楼3102复式单元</t>
        </is>
      </c>
      <c r="E4" s="13" t="inlineStr">
        <is>
          <t>商住小区</t>
        </is>
      </c>
      <c r="F4" s="13" t="inlineStr">
        <is>
          <t>住宅</t>
        </is>
      </c>
      <c r="G4" s="13" t="inlineStr">
        <is>
          <t>阿里资产</t>
        </is>
      </c>
      <c r="H4" s="13" t="inlineStr">
        <is>
          <t>一拍</t>
        </is>
      </c>
      <c r="I4" s="48" t="n">
        <v>46260.09607638889</v>
      </c>
      <c r="J4" s="13" t="inlineStr">
        <is>
          <t>是</t>
        </is>
      </c>
      <c r="K4" s="13" t="inlineStr">
        <is>
          <t>福清市人民法院</t>
        </is>
      </c>
      <c r="L4" s="30" t="n">
        <v>113.46</v>
      </c>
      <c r="M4" s="33">
        <f>IF(AND(ISNUMBER(N4),ISNUMBER(L4),L4&gt;0),ROUND(N4/L4,2),"")</f>
        <v/>
      </c>
      <c r="N4" s="49" t="n">
        <v>483200</v>
      </c>
      <c r="O4" s="49" t="n">
        <v>690234.1899999999</v>
      </c>
      <c r="P4" s="38">
        <f>IF(AND(ISNUMBER(N4),ISNUMBER(O4),O4&gt;0),N4/O4,"")</f>
        <v/>
      </c>
      <c r="Q4" s="44" t="n">
        <v>531200</v>
      </c>
      <c r="R4" s="38">
        <f>IF(AND(ISNUMBER(Q4),ISNUMBER(N4),N4&gt;0),(Q4-N4)/N4,"")</f>
        <v/>
      </c>
      <c r="S4" s="33">
        <f>IF(AND(ISNUMBER(Q4),ISNUMBER(L4),L4&gt;0),ROUND(Q4/L4,2),"")</f>
        <v/>
      </c>
      <c r="T4" s="44" t="n">
        <v>17</v>
      </c>
      <c r="U4" s="44" t="n">
        <v>3</v>
      </c>
      <c r="V4" s="20" t="inlineStr">
        <is>
          <t>本次补采未获取到面积证据，需人工复核；浏览器补采</t>
        </is>
      </c>
      <c r="W4" s="20" t="inlineStr">
        <is>
          <t>https://sf-item.taobao.com/sf_item/1066683167681.htm</t>
        </is>
      </c>
    </row>
    <row r="5">
      <c r="A5" s="13" t="inlineStr">
        <is>
          <t>福建省</t>
        </is>
      </c>
      <c r="B5" s="13" t="inlineStr">
        <is>
          <t>福州市</t>
        </is>
      </c>
      <c r="C5" s="13" t="inlineStr">
        <is>
          <t>福清市</t>
        </is>
      </c>
      <c r="D5" s="13" t="inlineStr">
        <is>
          <t>音西街道音西村瑶峰村凯景新天地1号楼1305单元</t>
        </is>
      </c>
      <c r="E5" s="13" t="inlineStr">
        <is>
          <t>商住小区</t>
        </is>
      </c>
      <c r="F5" s="13" t="inlineStr">
        <is>
          <t>住宅</t>
        </is>
      </c>
      <c r="G5" s="13" t="inlineStr">
        <is>
          <t>阿里资产</t>
        </is>
      </c>
      <c r="H5" s="13" t="inlineStr">
        <is>
          <t>一拍</t>
        </is>
      </c>
      <c r="I5" s="48" t="n">
        <v>46260.08333333334</v>
      </c>
      <c r="J5" s="13" t="inlineStr">
        <is>
          <t>是</t>
        </is>
      </c>
      <c r="K5" s="13" t="inlineStr">
        <is>
          <t>福清市人民法院</t>
        </is>
      </c>
      <c r="L5" s="30" t="n">
        <v>137.24</v>
      </c>
      <c r="M5" s="33">
        <f>IF(AND(ISNUMBER(N5),ISNUMBER(L5),L5&gt;0),ROUND(N5/L5,2),"")</f>
        <v/>
      </c>
      <c r="N5" s="49" t="n">
        <v>735000</v>
      </c>
      <c r="O5" s="49" t="n">
        <v>1049847.74</v>
      </c>
      <c r="P5" s="38">
        <f>IF(AND(ISNUMBER(N5),ISNUMBER(O5),O5&gt;0),N5/O5,"")</f>
        <v/>
      </c>
      <c r="Q5" s="44" t="n">
        <v>735000</v>
      </c>
      <c r="R5" s="38">
        <f>IF(AND(ISNUMBER(Q5),ISNUMBER(N5),N5&gt;0),(Q5-N5)/N5,"")</f>
        <v/>
      </c>
      <c r="S5" s="33">
        <f>IF(AND(ISNUMBER(Q5),ISNUMBER(L5),L5&gt;0),ROUND(Q5/L5,2),"")</f>
        <v/>
      </c>
      <c r="T5" s="44" t="n">
        <v>1</v>
      </c>
      <c r="U5" s="44" t="n">
        <v>1</v>
      </c>
      <c r="V5" s="20" t="inlineStr">
        <is>
          <t>本次补采未获取到面积证据，需人工复核；浏览器补采</t>
        </is>
      </c>
      <c r="W5" s="20" t="inlineStr">
        <is>
          <t>https://sf-item.taobao.com/sf_item/1066668807304.htm</t>
        </is>
      </c>
    </row>
    <row r="6">
      <c r="A6" s="13" t="inlineStr">
        <is>
          <t>福建省</t>
        </is>
      </c>
      <c r="B6" s="13" t="inlineStr">
        <is>
          <t>福州市</t>
        </is>
      </c>
      <c r="C6" s="13" t="inlineStr">
        <is>
          <t>鼓楼区</t>
        </is>
      </c>
      <c r="D6" s="13" t="inlineStr">
        <is>
          <t>五凤街道江厝路规划院湖前职工住宅1#楼301单元房产</t>
        </is>
      </c>
      <c r="E6" s="13" t="inlineStr">
        <is>
          <t>规划院湖前职工住宅</t>
        </is>
      </c>
      <c r="F6" s="13" t="inlineStr">
        <is>
          <t>住宅</t>
        </is>
      </c>
      <c r="G6" s="13" t="inlineStr">
        <is>
          <t>阿里资产</t>
        </is>
      </c>
      <c r="H6" s="13" t="inlineStr">
        <is>
          <t>一拍</t>
        </is>
      </c>
      <c r="I6" s="48" t="n">
        <v>46260.11115740741</v>
      </c>
      <c r="J6" s="13" t="inlineStr">
        <is>
          <t>是</t>
        </is>
      </c>
      <c r="K6" s="13" t="inlineStr">
        <is>
          <t>福州市鼓楼区人民法院</t>
        </is>
      </c>
      <c r="L6" s="30" t="n">
        <v>123.97</v>
      </c>
      <c r="M6" s="33">
        <f>IF(AND(ISNUMBER(N6),ISNUMBER(L6),L6&gt;0),ROUND(N6/L6,2),"")</f>
        <v/>
      </c>
      <c r="N6" s="49" t="n">
        <v>1138888</v>
      </c>
      <c r="O6" s="49" t="n">
        <v>1621094</v>
      </c>
      <c r="P6" s="38">
        <f>IF(AND(ISNUMBER(N6),ISNUMBER(O6),O6&gt;0),N6/O6,"")</f>
        <v/>
      </c>
      <c r="Q6" s="44" t="n">
        <v>1323888</v>
      </c>
      <c r="R6" s="38">
        <f>IF(AND(ISNUMBER(Q6),ISNUMBER(N6),N6&gt;0),(Q6-N6)/N6,"")</f>
        <v/>
      </c>
      <c r="S6" s="33">
        <f>IF(AND(ISNUMBER(Q6),ISNUMBER(L6),L6&gt;0),ROUND(Q6/L6,2),"")</f>
        <v/>
      </c>
      <c r="T6" s="44" t="n">
        <v>37</v>
      </c>
      <c r="U6" s="44" t="n">
        <v>7</v>
      </c>
      <c r="V6" s="20" t="inlineStr">
        <is>
          <t>本次补采未获取到面积证据，需人工复核；浏览器补采</t>
        </is>
      </c>
      <c r="W6" s="20" t="inlineStr">
        <is>
          <t>https://sf-item.taobao.com/sf_item/1069158960803.htm</t>
        </is>
      </c>
    </row>
    <row r="7">
      <c r="A7" s="13" t="inlineStr">
        <is>
          <t>福建省</t>
        </is>
      </c>
      <c r="B7" s="13" t="inlineStr">
        <is>
          <t>福州市</t>
        </is>
      </c>
      <c r="C7" s="13" t="inlineStr">
        <is>
          <t>晋安区</t>
        </is>
      </c>
      <c r="D7" s="13" t="inlineStr">
        <is>
          <t>岳峰镇化工路198号泰禾商务中心（二区）（东二环泰禾城市广场东区B地块）2#楼16层23办公</t>
        </is>
      </c>
      <c r="E7" s="13" t="inlineStr">
        <is>
          <t>泰禾商务中心</t>
        </is>
      </c>
      <c r="F7" s="13" t="inlineStr">
        <is>
          <t>商业</t>
        </is>
      </c>
      <c r="G7" s="13" t="inlineStr">
        <is>
          <t>阿里资产</t>
        </is>
      </c>
      <c r="H7" s="13" t="inlineStr">
        <is>
          <t>二拍</t>
        </is>
      </c>
      <c r="I7" s="48" t="n">
        <v>46261.08333333334</v>
      </c>
      <c r="J7" s="13" t="inlineStr">
        <is>
          <t>是</t>
        </is>
      </c>
      <c r="K7" s="13" t="inlineStr">
        <is>
          <t>罗源县人民法院</t>
        </is>
      </c>
      <c r="L7" s="30" t="n">
        <v>128.52</v>
      </c>
      <c r="M7" s="33">
        <f>IF(AND(ISNUMBER(N7),ISNUMBER(L7),L7&gt;0),ROUND(N7/L7,2),"")</f>
        <v/>
      </c>
      <c r="N7" s="49" t="n">
        <v>331941.59</v>
      </c>
      <c r="O7" s="49" t="n">
        <v>518658.74</v>
      </c>
      <c r="P7" s="38">
        <f>IF(AND(ISNUMBER(N7),ISNUMBER(O7),O7&gt;0),N7/O7,"")</f>
        <v/>
      </c>
      <c r="Q7" s="44" t="n">
        <v>331941.59</v>
      </c>
      <c r="R7" s="38">
        <f>IF(AND(ISNUMBER(Q7),ISNUMBER(N7),N7&gt;0),(Q7-N7)/N7,"")</f>
        <v/>
      </c>
      <c r="S7" s="33">
        <f>IF(AND(ISNUMBER(Q7),ISNUMBER(L7),L7&gt;0),ROUND(Q7/L7,2),"")</f>
        <v/>
      </c>
      <c r="T7" s="44" t="n">
        <v>1</v>
      </c>
      <c r="U7" s="44" t="n">
        <v>4</v>
      </c>
      <c r="V7" s="20" t="inlineStr">
        <is>
          <t>面积证据：晋安区岳峰镇化工路198号(原化工路北侧)泰禾商务中心(二区)(东二环泰禾城市广场东区B地块)2#楼16层23办公的房产【证号：闽(2020)福州市不动产权第9023451号】，房屋建筑面积128.52平方米，财产范围不包含其他不属于房地产的设施设备等动产以及债权权益。晋安区岳峰镇化工路198号(原化工路北侧)泰禾商务中心(二区)(东二环泰禾城市广场东区B地块)2#楼16层23办公，淘宝(中国)软件有限公司出具的询价结果为511041.48元，江苏京东信息技术有限公司出具的询价结果为526276.00元。现本院以询价结果平均值518658.74元作为拍卖参考价。第二次拍卖起拍价331941.59元，保证金30000元，增价幅度3000元，过户手续所产生的税、费，由原权利人和买受人各自承担；可能存在的物业费、水、电等欠费均由买受人自行承担。；浏览器补采</t>
        </is>
      </c>
      <c r="W7" s="20" t="inlineStr">
        <is>
          <t>https://sf-item.taobao.com/sf_item/1075005305000.htm</t>
        </is>
      </c>
    </row>
    <row r="8">
      <c r="A8" s="13" t="inlineStr">
        <is>
          <t>福建省</t>
        </is>
      </c>
      <c r="B8" s="13" t="inlineStr">
        <is>
          <t>福州市</t>
        </is>
      </c>
      <c r="C8" s="13" t="inlineStr">
        <is>
          <t>晋安区</t>
        </is>
      </c>
      <c r="D8" s="13" t="inlineStr">
        <is>
          <t>新店镇象峰一路72号香山春天6#楼1103单元房产</t>
        </is>
      </c>
      <c r="E8" s="13" t="inlineStr">
        <is>
          <t>香山春天</t>
        </is>
      </c>
      <c r="F8" s="13" t="inlineStr">
        <is>
          <t>住宅</t>
        </is>
      </c>
      <c r="G8" s="13" t="inlineStr">
        <is>
          <t>阿里资产</t>
        </is>
      </c>
      <c r="H8" s="13" t="inlineStr">
        <is>
          <t>一拍</t>
        </is>
      </c>
      <c r="I8" s="48" t="n">
        <v>46260.09894675926</v>
      </c>
      <c r="J8" s="13" t="inlineStr">
        <is>
          <t>是</t>
        </is>
      </c>
      <c r="K8" s="13" t="inlineStr">
        <is>
          <t>福州市鼓楼区人民法院</t>
        </is>
      </c>
      <c r="L8" s="30" t="n">
        <v>96.22</v>
      </c>
      <c r="M8" s="33">
        <f>IF(AND(ISNUMBER(N8),ISNUMBER(L8),L8&gt;0),ROUND(N8/L8,2),"")</f>
        <v/>
      </c>
      <c r="N8" s="49" t="n">
        <v>958888</v>
      </c>
      <c r="O8" s="49" t="n">
        <v>1362977</v>
      </c>
      <c r="P8" s="38">
        <f>IF(AND(ISNUMBER(N8),ISNUMBER(O8),O8&gt;0),N8/O8,"")</f>
        <v/>
      </c>
      <c r="Q8" s="44" t="n">
        <v>1208888</v>
      </c>
      <c r="R8" s="38">
        <f>IF(AND(ISNUMBER(Q8),ISNUMBER(N8),N8&gt;0),(Q8-N8)/N8,"")</f>
        <v/>
      </c>
      <c r="S8" s="33">
        <f>IF(AND(ISNUMBER(Q8),ISNUMBER(L8),L8&gt;0),ROUND(Q8/L8,2),"")</f>
        <v/>
      </c>
      <c r="T8" s="44" t="n">
        <v>38</v>
      </c>
      <c r="U8" s="44" t="n">
        <v>11</v>
      </c>
      <c r="V8" s="20" t="inlineStr">
        <is>
          <t>本次补采未获取到面积证据，需人工复核；浏览器补采</t>
        </is>
      </c>
      <c r="W8" s="20" t="inlineStr">
        <is>
          <t>https://sf-item.taobao.com/sf_item/1067415634175.htm</t>
        </is>
      </c>
    </row>
    <row r="9">
      <c r="A9" s="13" t="inlineStr">
        <is>
          <t>福建省</t>
        </is>
      </c>
      <c r="B9" s="13" t="inlineStr">
        <is>
          <t>福州市</t>
        </is>
      </c>
      <c r="C9" s="13" t="inlineStr">
        <is>
          <t>连江县</t>
        </is>
      </c>
      <c r="D9" s="13" t="inlineStr">
        <is>
          <t>凤城镇青塘路165号榕发栖湖郡3幢1403单元</t>
        </is>
      </c>
      <c r="E9" s="13" t="inlineStr">
        <is>
          <t>榕发栖湖郡</t>
        </is>
      </c>
      <c r="F9" s="13" t="inlineStr">
        <is>
          <t>住宅</t>
        </is>
      </c>
      <c r="G9" s="13" t="inlineStr">
        <is>
          <t>阿里资产</t>
        </is>
      </c>
      <c r="H9" s="13" t="inlineStr">
        <is>
          <t>一拍</t>
        </is>
      </c>
      <c r="I9" s="48" t="n">
        <v>46260.08696759259</v>
      </c>
      <c r="J9" s="13" t="inlineStr">
        <is>
          <t>是</t>
        </is>
      </c>
      <c r="K9" s="13" t="inlineStr">
        <is>
          <t>连江县人民法院</t>
        </is>
      </c>
      <c r="L9" s="30" t="n">
        <v>89.28</v>
      </c>
      <c r="M9" s="33">
        <f>IF(AND(ISNUMBER(N9),ISNUMBER(L9),L9&gt;0),ROUND(N9/L9,2),"")</f>
        <v/>
      </c>
      <c r="N9" s="49" t="n">
        <v>783192</v>
      </c>
      <c r="O9" s="49" t="n">
        <v>870213</v>
      </c>
      <c r="P9" s="38">
        <f>IF(AND(ISNUMBER(N9),ISNUMBER(O9),O9&gt;0),N9/O9,"")</f>
        <v/>
      </c>
      <c r="Q9" s="44" t="n">
        <v>801192</v>
      </c>
      <c r="R9" s="38">
        <f>IF(AND(ISNUMBER(Q9),ISNUMBER(N9),N9&gt;0),(Q9-N9)/N9,"")</f>
        <v/>
      </c>
      <c r="S9" s="33">
        <f>IF(AND(ISNUMBER(Q9),ISNUMBER(L9),L9&gt;0),ROUND(Q9/L9,2),"")</f>
        <v/>
      </c>
      <c r="T9" s="44" t="n">
        <v>7</v>
      </c>
      <c r="U9" s="44" t="n">
        <v>2</v>
      </c>
      <c r="V9" s="20" t="inlineStr">
        <is>
          <t>本次补采未获取到面积证据，需人工复核；浏览器补采</t>
        </is>
      </c>
      <c r="W9" s="20" t="inlineStr">
        <is>
          <t>https://sf-item.taobao.com/sf_item/1068134314120.htm</t>
        </is>
      </c>
    </row>
    <row r="10">
      <c r="A10" s="13" t="inlineStr">
        <is>
          <t>福建省</t>
        </is>
      </c>
      <c r="B10" s="13" t="inlineStr">
        <is>
          <t>福州市</t>
        </is>
      </c>
      <c r="C10" s="13" t="inlineStr">
        <is>
          <t>连江县</t>
        </is>
      </c>
      <c r="D10" s="13" t="inlineStr">
        <is>
          <t>凤城镇马祖东路2号龙宾新界5幢楼1层15店面</t>
        </is>
      </c>
      <c r="E10" s="13" t="inlineStr">
        <is>
          <t>商住小区</t>
        </is>
      </c>
      <c r="F10" s="13" t="inlineStr">
        <is>
          <t>商业</t>
        </is>
      </c>
      <c r="G10" s="13" t="inlineStr">
        <is>
          <t>阿里资产</t>
        </is>
      </c>
      <c r="H10" s="13" t="inlineStr">
        <is>
          <t>一拍</t>
        </is>
      </c>
      <c r="I10" s="48" t="n">
        <v>46260.08333333334</v>
      </c>
      <c r="J10" s="13" t="inlineStr">
        <is>
          <t>是</t>
        </is>
      </c>
      <c r="K10" s="13" t="inlineStr">
        <is>
          <t>连江县人民法院</t>
        </is>
      </c>
      <c r="L10" s="30" t="n">
        <v>129.89</v>
      </c>
      <c r="M10" s="33">
        <f>IF(AND(ISNUMBER(N10),ISNUMBER(L10),L10&gt;0),ROUND(N10/L10,2),"")</f>
        <v/>
      </c>
      <c r="N10" s="49" t="n">
        <v>902604</v>
      </c>
      <c r="O10" s="49" t="n">
        <v>1289434.04</v>
      </c>
      <c r="P10" s="38">
        <f>IF(AND(ISNUMBER(N10),ISNUMBER(O10),O10&gt;0),N10/O10,"")</f>
        <v/>
      </c>
      <c r="Q10" s="44" t="n">
        <v>902604</v>
      </c>
      <c r="R10" s="38">
        <f>IF(AND(ISNUMBER(Q10),ISNUMBER(N10),N10&gt;0),(Q10-N10)/N10,"")</f>
        <v/>
      </c>
      <c r="S10" s="33">
        <f>IF(AND(ISNUMBER(Q10),ISNUMBER(L10),L10&gt;0),ROUND(Q10/L10,2),"")</f>
        <v/>
      </c>
      <c r="T10" s="44" t="n">
        <v>1</v>
      </c>
      <c r="U10" s="44" t="n">
        <v>1</v>
      </c>
      <c r="V10" s="20" t="inlineStr">
        <is>
          <t>本次补采未获取到面积证据，需人工复核；浏览器补采</t>
        </is>
      </c>
      <c r="W10" s="20" t="inlineStr">
        <is>
          <t>https://sf-item.taobao.com/sf_item/1070325684560.htm</t>
        </is>
      </c>
    </row>
    <row r="11">
      <c r="A11" s="13" t="inlineStr">
        <is>
          <t>福建省</t>
        </is>
      </c>
      <c r="B11" s="13" t="inlineStr">
        <is>
          <t>福州市</t>
        </is>
      </c>
      <c r="C11" s="13" t="inlineStr">
        <is>
          <t>罗源县</t>
        </is>
      </c>
      <c r="D11" s="13" t="inlineStr">
        <is>
          <t>松山镇松岐路1号罗源湾滨海新城罗昌苑9#楼2803单元</t>
        </is>
      </c>
      <c r="E11" s="13" t="inlineStr">
        <is>
          <t>罗源湾</t>
        </is>
      </c>
      <c r="F11" s="13" t="inlineStr">
        <is>
          <t>住宅</t>
        </is>
      </c>
      <c r="G11" s="13" t="inlineStr">
        <is>
          <t>阿里资产</t>
        </is>
      </c>
      <c r="H11" s="13" t="inlineStr">
        <is>
          <t>二拍</t>
        </is>
      </c>
      <c r="I11" s="48" t="n">
        <v>46260.10284722222</v>
      </c>
      <c r="J11" s="13" t="inlineStr">
        <is>
          <t>是</t>
        </is>
      </c>
      <c r="K11" s="13" t="inlineStr">
        <is>
          <t>罗源县人民法院</t>
        </is>
      </c>
      <c r="L11" s="30" t="n">
        <v>97.17</v>
      </c>
      <c r="M11" s="33">
        <f>IF(AND(ISNUMBER(N11),ISNUMBER(L11),L11&gt;0),ROUND(N11/L11,2),"")</f>
        <v/>
      </c>
      <c r="N11" s="49" t="n">
        <v>240630.15</v>
      </c>
      <c r="O11" s="49" t="n">
        <v>375984.62</v>
      </c>
      <c r="P11" s="38">
        <f>IF(AND(ISNUMBER(N11),ISNUMBER(O11),O11&gt;0),N11/O11,"")</f>
        <v/>
      </c>
      <c r="Q11" s="44" t="n">
        <v>288630.15</v>
      </c>
      <c r="R11" s="38">
        <f>IF(AND(ISNUMBER(Q11),ISNUMBER(N11),N11&gt;0),(Q11-N11)/N11,"")</f>
        <v/>
      </c>
      <c r="S11" s="33">
        <f>IF(AND(ISNUMBER(Q11),ISNUMBER(L11),L11&gt;0),ROUND(Q11/L11,2),"")</f>
        <v/>
      </c>
      <c r="T11" s="44" t="n">
        <v>24</v>
      </c>
      <c r="U11" s="44" t="n">
        <v>4</v>
      </c>
      <c r="V11" s="20" t="inlineStr">
        <is>
          <t>面积证据：福建省罗源县松山镇松歧路1号罗源湾滨海新城罗昌苑9#楼2803单元的房产【证号：权证号：闽（2018）罗源县不动产权第0009815号】，房屋建筑面积97.17平方米，财产范围不包含其他不属于房地产的设施设备等动产以及债权权益。福建省罗源县松山镇松歧路1号罗源湾滨海新城罗昌苑9#楼2803单元，淘宝(中国)软件有限公司出具的询价结果为365833.23元，江苏京东信息技术有限公司出具的询价结果为386136.00元。现本院以询价结果平均值375984.62元作为拍卖参考价。第二次拍卖起拍价240630.15元，保证金20000元，增价幅度2000元，过户手续所产生的税、费，由原权利人和买受人各自承担；可能存在的物业费、水、电等欠费均由买受人自行承担。；浏览器补采</t>
        </is>
      </c>
      <c r="W11" s="20" t="inlineStr">
        <is>
          <t>https://sf-item.taobao.com/sf_item/1074906136946.htm</t>
        </is>
      </c>
    </row>
    <row r="12">
      <c r="A12" s="13" t="inlineStr">
        <is>
          <t>福建省</t>
        </is>
      </c>
      <c r="B12" s="13" t="inlineStr">
        <is>
          <t>福州市</t>
        </is>
      </c>
      <c r="C12" s="13" t="inlineStr">
        <is>
          <t>罗源县</t>
        </is>
      </c>
      <c r="D12" s="13" t="inlineStr">
        <is>
          <t>松山镇松歧路1号罗源湾滨海新城罗锦苑2#楼501单元</t>
        </is>
      </c>
      <c r="E12" s="13" t="inlineStr">
        <is>
          <t>罗源湾</t>
        </is>
      </c>
      <c r="F12" s="13" t="inlineStr">
        <is>
          <t>住宅</t>
        </is>
      </c>
      <c r="G12" s="13" t="inlineStr">
        <is>
          <t>阿里资产</t>
        </is>
      </c>
      <c r="H12" s="13" t="inlineStr">
        <is>
          <t>二拍</t>
        </is>
      </c>
      <c r="I12" s="48" t="n">
        <v>46260.09208333334</v>
      </c>
      <c r="J12" s="13" t="inlineStr">
        <is>
          <t>是</t>
        </is>
      </c>
      <c r="K12" s="13" t="inlineStr">
        <is>
          <t>罗源县人民法院</t>
        </is>
      </c>
      <c r="L12" s="30" t="n">
        <v>162.45</v>
      </c>
      <c r="M12" s="33">
        <f>IF(AND(ISNUMBER(N12),ISNUMBER(L12),L12&gt;0),ROUND(N12/L12,2),"")</f>
        <v/>
      </c>
      <c r="N12" s="49" t="n">
        <v>409528.67</v>
      </c>
      <c r="O12" s="49" t="n">
        <v>639888.55</v>
      </c>
      <c r="P12" s="38">
        <f>IF(AND(ISNUMBER(N12),ISNUMBER(O12),O12&gt;0),N12/O12,"")</f>
        <v/>
      </c>
      <c r="Q12" s="44" t="n">
        <v>449528.67</v>
      </c>
      <c r="R12" s="38">
        <f>IF(AND(ISNUMBER(Q12),ISNUMBER(N12),N12&gt;0),(Q12-N12)/N12,"")</f>
        <v/>
      </c>
      <c r="S12" s="33">
        <f>IF(AND(ISNUMBER(Q12),ISNUMBER(L12),L12&gt;0),ROUND(Q12/L12,2),"")</f>
        <v/>
      </c>
      <c r="T12" s="44" t="n">
        <v>11</v>
      </c>
      <c r="U12" s="44" t="n">
        <v>4</v>
      </c>
      <c r="V12" s="20" t="inlineStr">
        <is>
          <t>面积证据：福建省罗源县松山镇松歧路1号罗源湾滨海新城罗锦苑2#楼501单元的房产【证号：权证号：闽(2017)罗源县不动产权第0008978号】，房屋建筑面积162.45平方米，财产范围不包含其他不属于房地产的设施设备等动产以及债权权益。福建省罗源县松山镇松歧路1号罗源湾滨海新城罗锦苑2#楼501单元，淘宝(中国)软件有限公司出具的询价结果为592288.09元，江苏京东信息技术有限公司出具的询价结果为687489.00元。现本院以询价结果平均值639888.55元作为拍卖参考价。第二次拍卖起拍价409528.67元，保证金40000元，增价幅度4000元，过户手续所产生的税、费，由原权利人和买受人各自承担；可能存在的物业费、水、电等欠费均由买受人自行承担。；浏览器补采</t>
        </is>
      </c>
      <c r="W12" s="20" t="inlineStr">
        <is>
          <t>https://sf-item.taobao.com/sf_item/1072046491202.htm</t>
        </is>
      </c>
    </row>
    <row r="13">
      <c r="A13" s="13" t="inlineStr">
        <is>
          <t>福建省</t>
        </is>
      </c>
      <c r="B13" s="13" t="inlineStr">
        <is>
          <t>福州市</t>
        </is>
      </c>
      <c r="C13" s="13" t="inlineStr">
        <is>
          <t>罗源县</t>
        </is>
      </c>
      <c r="D13" s="13" t="inlineStr">
        <is>
          <t>松山镇松岐路1号罗源湾滨海新城罗玉苑20#楼307单元</t>
        </is>
      </c>
      <c r="E13" s="13" t="inlineStr">
        <is>
          <t>罗源湾</t>
        </is>
      </c>
      <c r="F13" s="13" t="inlineStr">
        <is>
          <t>住宅</t>
        </is>
      </c>
      <c r="G13" s="13" t="inlineStr">
        <is>
          <t>阿里资产</t>
        </is>
      </c>
      <c r="H13" s="13" t="inlineStr">
        <is>
          <t>二拍</t>
        </is>
      </c>
      <c r="I13" s="48" t="n">
        <v>46260.08333333334</v>
      </c>
      <c r="J13" s="13" t="inlineStr">
        <is>
          <t>是</t>
        </is>
      </c>
      <c r="K13" s="13" t="inlineStr">
        <is>
          <t>罗源县人民法院</t>
        </is>
      </c>
      <c r="L13" s="30" t="n">
        <v>113.92</v>
      </c>
      <c r="M13" s="33">
        <f>IF(AND(ISNUMBER(N13),ISNUMBER(L13),L13&gt;0),ROUND(N13/L13,2),"")</f>
        <v/>
      </c>
      <c r="N13" s="49" t="n">
        <v>276654.14</v>
      </c>
      <c r="O13" s="49" t="n">
        <v>432272.09</v>
      </c>
      <c r="P13" s="38">
        <f>IF(AND(ISNUMBER(N13),ISNUMBER(O13),O13&gt;0),N13/O13,"")</f>
        <v/>
      </c>
      <c r="Q13" s="44" t="n">
        <v>328654.14</v>
      </c>
      <c r="R13" s="38">
        <f>IF(AND(ISNUMBER(Q13),ISNUMBER(N13),N13&gt;0),(Q13-N13)/N13,"")</f>
        <v/>
      </c>
      <c r="S13" s="33">
        <f>IF(AND(ISNUMBER(Q13),ISNUMBER(L13),L13&gt;0),ROUND(Q13/L13,2),"")</f>
        <v/>
      </c>
      <c r="T13" s="44" t="n">
        <v>2</v>
      </c>
      <c r="U13" s="44" t="n">
        <v>4</v>
      </c>
      <c r="V13" s="20" t="inlineStr">
        <is>
          <t>面积证据：福建省罗源县松山镇松歧路1号罗源湾滨海新城罗玉苑20#楼307单元的房产【证号：权证号：闽（2016）罗源县不动产权第0000251号】，房屋建筑面积113.92平方米，财产范围不包含其他不属于房地产的设施设备等动产以及债权权益。福建省罗源县松山镇松歧路1号罗源湾滨海新城罗玉苑20#楼307单元，淘宝(中国)软件有限公司出具的询价结果为411939.17元，江苏京东信息技术有限公司出具的询价结果为452605.00元。现本院以询价结果平均值432272.09元作为拍卖参考价。第二次拍卖起拍价276654.13元，保证金20000元，增价幅度2000元，过户手续所产生的税、费，由原权利人和买受人各自承担；可能存在的物业费、水、电等欠费均由买受人自行承担。；浏览器补采</t>
        </is>
      </c>
      <c r="W13" s="20" t="inlineStr">
        <is>
          <t>https://sf-item.taobao.com/sf_item/1074905924923.htm</t>
        </is>
      </c>
    </row>
    <row r="14">
      <c r="A14" s="13" t="inlineStr">
        <is>
          <t>福建省</t>
        </is>
      </c>
      <c r="B14" s="13" t="inlineStr">
        <is>
          <t>福州市</t>
        </is>
      </c>
      <c r="C14" s="13" t="inlineStr">
        <is>
          <t>闽侯县</t>
        </is>
      </c>
      <c r="D14" s="13" t="inlineStr">
        <is>
          <t>荆溪镇荆溪东大道55号福州光明旅游温泉小镇A1地块一区（现：凤湖湖滨世纪首邑）C9#楼1603单元</t>
        </is>
      </c>
      <c r="E14" s="13" t="inlineStr">
        <is>
          <t>商住小区</t>
        </is>
      </c>
      <c r="F14" s="13" t="inlineStr">
        <is>
          <t>住宅</t>
        </is>
      </c>
      <c r="G14" s="13" t="inlineStr">
        <is>
          <t>阿里资产</t>
        </is>
      </c>
      <c r="H14" s="13" t="inlineStr">
        <is>
          <t>一拍</t>
        </is>
      </c>
      <c r="I14" s="48" t="n">
        <v>46260.11258101852</v>
      </c>
      <c r="J14" s="13" t="inlineStr">
        <is>
          <t>是</t>
        </is>
      </c>
      <c r="K14" s="13" t="inlineStr">
        <is>
          <t>福州市鼓楼区人民法院</t>
        </is>
      </c>
      <c r="L14" s="30" t="n">
        <v>89.77</v>
      </c>
      <c r="M14" s="33">
        <f>IF(AND(ISNUMBER(N14),ISNUMBER(L14),L14&gt;0),ROUND(N14/L14,2),"")</f>
        <v/>
      </c>
      <c r="N14" s="49" t="n">
        <v>408888</v>
      </c>
      <c r="O14" s="49" t="n">
        <v>578748</v>
      </c>
      <c r="P14" s="38">
        <f>IF(AND(ISNUMBER(N14),ISNUMBER(O14),O14&gt;0),N14/O14,"")</f>
        <v/>
      </c>
      <c r="Q14" s="44" t="n">
        <v>516888</v>
      </c>
      <c r="R14" s="38">
        <f>IF(AND(ISNUMBER(Q14),ISNUMBER(N14),N14&gt;0),(Q14-N14)/N14,"")</f>
        <v/>
      </c>
      <c r="S14" s="33">
        <f>IF(AND(ISNUMBER(Q14),ISNUMBER(L14),L14&gt;0),ROUND(Q14/L14,2),"")</f>
        <v/>
      </c>
      <c r="T14" s="44" t="n">
        <v>25</v>
      </c>
      <c r="U14" s="44" t="n">
        <v>8</v>
      </c>
      <c r="V14" s="20" t="inlineStr">
        <is>
          <t>本次补采未获取到面积证据，需人工复核；浏览器补采</t>
        </is>
      </c>
      <c r="W14" s="20" t="inlineStr">
        <is>
          <t>https://sf-item.taobao.com/sf_item/1068149913510.htm</t>
        </is>
      </c>
    </row>
    <row r="15">
      <c r="A15" s="13" t="inlineStr">
        <is>
          <t>福建省</t>
        </is>
      </c>
      <c r="B15" s="13" t="inlineStr">
        <is>
          <t>福州市</t>
        </is>
      </c>
      <c r="C15" s="13" t="inlineStr">
        <is>
          <t>闽侯县</t>
        </is>
      </c>
      <c r="D15" s="13" t="inlineStr">
        <is>
          <t>甘蔗街道墩园洲路17号甘蔗2019-29号地块项目（现：榕心锦江公馆）地下室地下1层652车位</t>
        </is>
      </c>
      <c r="E15" s="13" t="inlineStr">
        <is>
          <t>墩园</t>
        </is>
      </c>
      <c r="F15" s="13" t="inlineStr">
        <is>
          <t>车位</t>
        </is>
      </c>
      <c r="G15" s="13" t="inlineStr">
        <is>
          <t>阿里资产</t>
        </is>
      </c>
      <c r="H15" s="13" t="inlineStr">
        <is>
          <t>一拍</t>
        </is>
      </c>
      <c r="I15" s="48" t="n">
        <v>46260.08646990741</v>
      </c>
      <c r="J15" s="13" t="inlineStr">
        <is>
          <t>是</t>
        </is>
      </c>
      <c r="K15" s="13" t="inlineStr">
        <is>
          <t>闽侯县人民法院</t>
        </is>
      </c>
      <c r="L15" s="30" t="n">
        <v>26.39</v>
      </c>
      <c r="M15" s="33">
        <f>IF(AND(ISNUMBER(N15),ISNUMBER(L15),L15&gt;0),ROUND(N15/L15,2),"")</f>
        <v/>
      </c>
      <c r="N15" s="49" t="n">
        <v>51000</v>
      </c>
      <c r="O15" s="49" t="n">
        <v>72400</v>
      </c>
      <c r="P15" s="38">
        <f>IF(AND(ISNUMBER(N15),ISNUMBER(O15),O15&gt;0),N15/O15,"")</f>
        <v/>
      </c>
      <c r="Q15" s="44" t="n">
        <v>51500</v>
      </c>
      <c r="R15" s="38">
        <f>IF(AND(ISNUMBER(Q15),ISNUMBER(N15),N15&gt;0),(Q15-N15)/N15,"")</f>
        <v/>
      </c>
      <c r="S15" s="33">
        <f>IF(AND(ISNUMBER(Q15),ISNUMBER(L15),L15&gt;0),ROUND(Q15/L15,2),"")</f>
        <v/>
      </c>
      <c r="T15" s="44" t="n">
        <v>2</v>
      </c>
      <c r="U15" s="44" t="n">
        <v>2</v>
      </c>
      <c r="V15" s="20" t="inlineStr">
        <is>
          <t>面积证据：1、拍卖对象：福建省闽侯县甘蔗街道墩园洲路17号甘蔗2019-29号地块项目（现：榕心锦江公馆）地下室地下1层652车位（总建筑面积：26.39平方米），详见评估报告。；浏览器补采</t>
        </is>
      </c>
      <c r="W15" s="20" t="inlineStr">
        <is>
          <t>https://sf-item.taobao.com/sf_item/1068320338505.htm</t>
        </is>
      </c>
    </row>
    <row r="16">
      <c r="A16" s="13" t="inlineStr">
        <is>
          <t>福建省</t>
        </is>
      </c>
      <c r="B16" s="13" t="inlineStr">
        <is>
          <t>福州市</t>
        </is>
      </c>
      <c r="C16" s="13" t="inlineStr">
        <is>
          <t>台江区</t>
        </is>
      </c>
      <c r="D16" s="13" t="inlineStr">
        <is>
          <t>五一中路169号利嘉城A区综合地下1层AD1-156商场</t>
        </is>
      </c>
      <c r="E16" s="13" t="inlineStr">
        <is>
          <t>利嘉城</t>
        </is>
      </c>
      <c r="F16" s="13" t="inlineStr">
        <is>
          <t>商业</t>
        </is>
      </c>
      <c r="G16" s="13" t="inlineStr">
        <is>
          <t>阿里资产</t>
        </is>
      </c>
      <c r="H16" s="13" t="inlineStr">
        <is>
          <t>一拍</t>
        </is>
      </c>
      <c r="I16" s="48" t="n">
        <v>46261.10644675926</v>
      </c>
      <c r="J16" s="13" t="inlineStr">
        <is>
          <t>是</t>
        </is>
      </c>
      <c r="K16" s="13" t="inlineStr">
        <is>
          <t>福州市长乐区人民法院</t>
        </is>
      </c>
      <c r="L16" s="30" t="n">
        <v>43.01</v>
      </c>
      <c r="M16" s="33">
        <f>IF(AND(ISNUMBER(N16),ISNUMBER(L16),L16&gt;0),ROUND(N16/L16,2),"")</f>
        <v/>
      </c>
      <c r="N16" s="49" t="n">
        <v>240000</v>
      </c>
      <c r="O16" s="49" t="n">
        <v>335716</v>
      </c>
      <c r="P16" s="38">
        <f>IF(AND(ISNUMBER(N16),ISNUMBER(O16),O16&gt;0),N16/O16,"")</f>
        <v/>
      </c>
      <c r="Q16" s="44" t="n">
        <v>272000</v>
      </c>
      <c r="R16" s="38">
        <f>IF(AND(ISNUMBER(Q16),ISNUMBER(N16),N16&gt;0),(Q16-N16)/N16,"")</f>
        <v/>
      </c>
      <c r="S16" s="33">
        <f>IF(AND(ISNUMBER(Q16),ISNUMBER(L16),L16&gt;0),ROUND(Q16/L16,2),"")</f>
        <v/>
      </c>
      <c r="T16" s="44" t="n">
        <v>28</v>
      </c>
      <c r="U16" s="44" t="n">
        <v>4</v>
      </c>
      <c r="V16" s="20" t="inlineStr">
        <is>
          <t>本次补采未获取到面积证据，需人工复核；浏览器补采</t>
        </is>
      </c>
      <c r="W16" s="20" t="inlineStr">
        <is>
          <t>https://sf-item.taobao.com/sf_item/1070408920851.htm</t>
        </is>
      </c>
    </row>
    <row r="17">
      <c r="A17" s="13" t="inlineStr">
        <is>
          <t>福建省</t>
        </is>
      </c>
      <c r="B17" s="13" t="inlineStr">
        <is>
          <t>福州市</t>
        </is>
      </c>
      <c r="C17" s="13" t="inlineStr">
        <is>
          <t>台江区</t>
        </is>
      </c>
      <c r="D17" s="13" t="inlineStr">
        <is>
          <t>五一中路169号利嘉城A区综合地下1层AD1-174商场</t>
        </is>
      </c>
      <c r="E17" s="13" t="inlineStr">
        <is>
          <t>利嘉城</t>
        </is>
      </c>
      <c r="F17" s="13" t="inlineStr">
        <is>
          <t>商业</t>
        </is>
      </c>
      <c r="G17" s="13" t="inlineStr">
        <is>
          <t>阿里资产</t>
        </is>
      </c>
      <c r="H17" s="13" t="inlineStr">
        <is>
          <t>一拍</t>
        </is>
      </c>
      <c r="I17" s="48" t="n">
        <v>46261.09787037037</v>
      </c>
      <c r="J17" s="13" t="inlineStr">
        <is>
          <t>是</t>
        </is>
      </c>
      <c r="K17" s="13" t="inlineStr">
        <is>
          <t>福州市长乐区人民法院</t>
        </is>
      </c>
      <c r="L17" s="30" t="n">
        <v>33.67</v>
      </c>
      <c r="M17" s="33">
        <f>IF(AND(ISNUMBER(N17),ISNUMBER(L17),L17&gt;0),ROUND(N17/L17,2),"")</f>
        <v/>
      </c>
      <c r="N17" s="49" t="n">
        <v>184000</v>
      </c>
      <c r="O17" s="49" t="n">
        <v>262812</v>
      </c>
      <c r="P17" s="38">
        <f>IF(AND(ISNUMBER(N17),ISNUMBER(O17),O17&gt;0),N17/O17,"")</f>
        <v/>
      </c>
      <c r="Q17" s="44" t="n">
        <v>213000</v>
      </c>
      <c r="R17" s="38">
        <f>IF(AND(ISNUMBER(Q17),ISNUMBER(N17),N17&gt;0),(Q17-N17)/N17,"")</f>
        <v/>
      </c>
      <c r="S17" s="33">
        <f>IF(AND(ISNUMBER(Q17),ISNUMBER(L17),L17&gt;0),ROUND(Q17/L17,2),"")</f>
        <v/>
      </c>
      <c r="T17" s="44" t="n">
        <v>25</v>
      </c>
      <c r="U17" s="44" t="n">
        <v>6</v>
      </c>
      <c r="V17" s="20" t="inlineStr">
        <is>
          <t>面积证据：1、拍卖对象：福州市台江区五一中路169号利嘉城A区综合地下1层AD1-174商场（R1137770）（不含屋内物品），该财产为被执行人石*伟所有。建筑面积：33.67平方米（产权面积仅供参考，请以最终过户为准）。实际用途为商业。；浏览器补采</t>
        </is>
      </c>
      <c r="W17" s="20" t="inlineStr">
        <is>
          <t>https://sf-item.taobao.com/sf_item/1068412586666.htm</t>
        </is>
      </c>
    </row>
    <row r="18">
      <c r="A18" s="13" t="inlineStr">
        <is>
          <t>福建省</t>
        </is>
      </c>
      <c r="B18" s="13" t="inlineStr">
        <is>
          <t>福州市</t>
        </is>
      </c>
      <c r="C18" s="13" t="inlineStr">
        <is>
          <t>长乐区</t>
        </is>
      </c>
      <c r="D18" s="13" t="inlineStr">
        <is>
          <t>航城街道广场路909号三盛璞悦花园一期5#楼505单元</t>
        </is>
      </c>
      <c r="E18" s="13" t="inlineStr">
        <is>
          <t>广场</t>
        </is>
      </c>
      <c r="F18" s="13" t="inlineStr">
        <is>
          <t>住宅</t>
        </is>
      </c>
      <c r="G18" s="13" t="inlineStr">
        <is>
          <t>阿里资产</t>
        </is>
      </c>
      <c r="H18" s="13" t="inlineStr">
        <is>
          <t>一拍</t>
        </is>
      </c>
      <c r="I18" s="48" t="n">
        <v>46260.10961805555</v>
      </c>
      <c r="J18" s="13" t="inlineStr">
        <is>
          <t>是</t>
        </is>
      </c>
      <c r="K18" s="13" t="inlineStr">
        <is>
          <t>福州市长乐区人民法院</t>
        </is>
      </c>
      <c r="L18" s="30" t="n">
        <v>125.43</v>
      </c>
      <c r="M18" s="33">
        <f>IF(AND(ISNUMBER(N18),ISNUMBER(L18),L18&gt;0),ROUND(N18/L18,2),"")</f>
        <v/>
      </c>
      <c r="N18" s="49" t="n">
        <v>830000</v>
      </c>
      <c r="O18" s="49" t="n">
        <v>1177528</v>
      </c>
      <c r="P18" s="38">
        <f>IF(AND(ISNUMBER(N18),ISNUMBER(O18),O18&gt;0),N18/O18,"")</f>
        <v/>
      </c>
      <c r="Q18" s="44" t="n">
        <v>1290000</v>
      </c>
      <c r="R18" s="38">
        <f>IF(AND(ISNUMBER(Q18),ISNUMBER(N18),N18&gt;0),(Q18-N18)/N18,"")</f>
        <v/>
      </c>
      <c r="S18" s="33">
        <f>IF(AND(ISNUMBER(Q18),ISNUMBER(L18),L18&gt;0),ROUND(Q18/L18,2),"")</f>
        <v/>
      </c>
      <c r="T18" s="44" t="n">
        <v>77</v>
      </c>
      <c r="U18" s="44" t="n">
        <v>12</v>
      </c>
      <c r="V18" s="20" t="inlineStr">
        <is>
          <t>面积证据：1、拍卖对象：福州市长乐区航城街道广场路909号三盛璞悦花园一期5#楼505单元【闽（2020）长乐区不动产证明第0011491号】（不含屋内物品），该财产为被执行人黄*所有。建筑面积：125.43平方米（产权面积仅供参考，请以最终过户为准）。实际用途为住宅。本标的物未办理产权证，能否办理过户手续及办理过户手续的时间请竞买人在竞买前自行到相关职能部门咨询确认，如具备办理条件，买受人应办理二次产权登记手续，缴纳二次税费。办理过户手续涉及网签合同、发票、涉税证明、图纸等材料需开发商、物业或其他自然人或法人配合的，由买受人自行协商，与拍卖人无涉。本院仅提供相关执行文书，由买受人自行判断处理。本标的物自取得不动产权证之日起未满五年的，不得上市交易，不得办理转让公证手续。；浏览器补采</t>
        </is>
      </c>
      <c r="W18" s="20" t="inlineStr">
        <is>
          <t>https://sf-item.taobao.com/sf_item/1069344373819.htm</t>
        </is>
      </c>
    </row>
    <row r="19">
      <c r="A19" s="13" t="inlineStr">
        <is>
          <t>福建省</t>
        </is>
      </c>
      <c r="B19" s="13" t="inlineStr">
        <is>
          <t>福州市</t>
        </is>
      </c>
      <c r="C19" s="13" t="inlineStr">
        <is>
          <t>仓山区</t>
        </is>
      </c>
      <c r="D19" s="13" t="inlineStr">
        <is>
          <t>建新镇金山大道518号江南名城5号楼607复式单元</t>
        </is>
      </c>
      <c r="E19" s="13" t="inlineStr">
        <is>
          <t>江南名城</t>
        </is>
      </c>
      <c r="F19" s="13" t="inlineStr">
        <is>
          <t>住宅</t>
        </is>
      </c>
      <c r="G19" s="13" t="inlineStr">
        <is>
          <t>京东拍卖</t>
        </is>
      </c>
      <c r="H19" s="13" t="inlineStr">
        <is>
          <t>一拍</t>
        </is>
      </c>
      <c r="I19" s="48" t="inlineStr">
        <is>
          <t>2019-08-13 10:08:49</t>
        </is>
      </c>
      <c r="J19" s="13" t="inlineStr">
        <is>
          <t>是</t>
        </is>
      </c>
      <c r="K19" s="13" t="inlineStr">
        <is>
          <t>郑州市上街区人民法院</t>
        </is>
      </c>
      <c r="L19" s="30" t="n">
        <v>229.36</v>
      </c>
      <c r="M19" s="33">
        <f>IF(AND(ISNUMBER(N19),ISNUMBER(L19),L19&gt;0),ROUND(N19/L19,2),"")</f>
        <v/>
      </c>
      <c r="N19" s="49" t="n">
        <v>2863069</v>
      </c>
      <c r="O19" s="49" t="n">
        <v>3490097.76</v>
      </c>
      <c r="P19" s="38">
        <f>IF(AND(ISNUMBER(N19),ISNUMBER(O19),O19&gt;0),N19/O19,"")</f>
        <v/>
      </c>
      <c r="Q19" s="44" t="n">
        <v>2863069</v>
      </c>
      <c r="R19" s="38">
        <f>IF(AND(ISNUMBER(Q19),ISNUMBER(N19),N19&gt;0),(Q19-N19)/N19,"")</f>
        <v/>
      </c>
      <c r="S19" s="33">
        <f>IF(AND(ISNUMBER(Q19),ISNUMBER(L19),L19&gt;0),ROUND(Q19/L19,2),"")</f>
        <v/>
      </c>
      <c r="T19" s="44" t="n">
        <v>40</v>
      </c>
      <c r="U19" s="44" t="n">
        <v>5</v>
      </c>
      <c r="V19" s="20" t="inlineStr">
        <is>
          <t>未找到评估报告</t>
        </is>
      </c>
      <c r="W19" s="20" t="inlineStr">
        <is>
          <t>https://paimai.jd.com/110360883</t>
        </is>
      </c>
    </row>
    <row r="20">
      <c r="A20" s="13" t="inlineStr">
        <is>
          <t>福建省</t>
        </is>
      </c>
      <c r="B20" s="13" t="inlineStr">
        <is>
          <t>福州市</t>
        </is>
      </c>
      <c r="C20" s="13" t="inlineStr">
        <is>
          <t>福清市</t>
        </is>
      </c>
      <c r="D20" s="13" t="inlineStr">
        <is>
          <t>龙田镇龙辉街龙粮商住楼401号住宅一套</t>
        </is>
      </c>
      <c r="E20" s="13" t="inlineStr">
        <is>
          <t>龙粮商住楼</t>
        </is>
      </c>
      <c r="F20" s="13" t="inlineStr">
        <is>
          <t>住宅</t>
        </is>
      </c>
      <c r="G20" s="13" t="inlineStr">
        <is>
          <t>京东拍卖</t>
        </is>
      </c>
      <c r="H20" s="13" t="inlineStr">
        <is>
          <t>二拍</t>
        </is>
      </c>
      <c r="I20" s="48" t="n">
        <v>43879.41666666666</v>
      </c>
      <c r="J20" s="13" t="inlineStr">
        <is>
          <t>是</t>
        </is>
      </c>
      <c r="K20" s="13" t="inlineStr">
        <is>
          <t>献县人民法院</t>
        </is>
      </c>
      <c r="L20" s="30" t="n">
        <v>134.27</v>
      </c>
      <c r="M20" s="33">
        <f>IF(AND(ISNUMBER(N20),ISNUMBER(L20),L20&gt;0),ROUND(N20/L20,2),"")</f>
        <v/>
      </c>
      <c r="N20" s="49" t="n">
        <v>380000</v>
      </c>
      <c r="O20" s="49" t="n">
        <v>559500</v>
      </c>
      <c r="P20" s="38">
        <f>IF(AND(ISNUMBER(N20),ISNUMBER(O20),O20&gt;0),N20/O20,"")</f>
        <v/>
      </c>
      <c r="Q20" s="44" t="n">
        <v>380000</v>
      </c>
      <c r="R20" s="38">
        <f>IF(AND(ISNUMBER(Q20),ISNUMBER(N20),N20&gt;0),(Q20-N20)/N20,"")</f>
        <v/>
      </c>
      <c r="S20" s="33">
        <f>IF(AND(ISNUMBER(Q20),ISNUMBER(L20),L20&gt;0),ROUND(Q20/L20,2),"")</f>
        <v/>
      </c>
      <c r="T20" s="44" t="n">
        <v>1</v>
      </c>
      <c r="U20" s="44" t="n">
        <v>1</v>
      </c>
      <c r="V20" s="20" t="inlineStr">
        <is>
          <t>40</t>
        </is>
      </c>
      <c r="W20" s="20" t="inlineStr">
        <is>
          <t>https://paimai.jd.com/113185399</t>
        </is>
      </c>
    </row>
    <row r="21">
      <c r="A21" s="13" t="inlineStr">
        <is>
          <t>福建省</t>
        </is>
      </c>
      <c r="B21" s="13" t="inlineStr">
        <is>
          <t>福州市</t>
        </is>
      </c>
      <c r="C21" s="13" t="inlineStr">
        <is>
          <t>鼓楼区</t>
        </is>
      </c>
      <c r="D21" s="13" t="inlineStr">
        <is>
          <t>温泉街道树汤路50号树兜花园3#楼707单元</t>
        </is>
      </c>
      <c r="E21" s="13" t="inlineStr">
        <is>
          <t>树兜花园</t>
        </is>
      </c>
      <c r="F21" s="13" t="inlineStr">
        <is>
          <t>住宅</t>
        </is>
      </c>
      <c r="G21" s="13" t="inlineStr">
        <is>
          <t>京东拍卖</t>
        </is>
      </c>
      <c r="H21" s="13" t="inlineStr">
        <is>
          <t>一拍</t>
        </is>
      </c>
      <c r="I21" s="48" t="n">
        <v>46260.41666666666</v>
      </c>
      <c r="J21" s="13" t="inlineStr">
        <is>
          <t>是</t>
        </is>
      </c>
      <c r="K21" s="13" t="inlineStr">
        <is>
          <t>福州市鼓楼区人民法院</t>
        </is>
      </c>
      <c r="L21" s="30" t="n">
        <v>130.65</v>
      </c>
      <c r="M21" s="33">
        <f>IF(AND(ISNUMBER(N21),ISNUMBER(L21),L21&gt;0),ROUND(N21/L21,2),"")</f>
        <v/>
      </c>
      <c r="N21" s="49" t="n">
        <v>1890000</v>
      </c>
      <c r="O21" s="49" t="n">
        <v>2687004.85</v>
      </c>
      <c r="P21" s="38">
        <f>IF(AND(ISNUMBER(N21),ISNUMBER(O21),O21&gt;0),N21/O21,"")</f>
        <v/>
      </c>
      <c r="Q21" s="44" t="n">
        <v>2439000</v>
      </c>
      <c r="R21" s="38">
        <f>IF(AND(ISNUMBER(Q21),ISNUMBER(N21),N21&gt;0),(Q21-N21)/N21,"")</f>
        <v/>
      </c>
      <c r="S21" s="33">
        <f>IF(AND(ISNUMBER(Q21),ISNUMBER(L21),L21&gt;0),ROUND(Q21/L21,2),"")</f>
        <v/>
      </c>
      <c r="T21" s="44" t="n">
        <v>50</v>
      </c>
      <c r="U21" s="44" t="n">
        <v>6</v>
      </c>
      <c r="V21" s="20" t="inlineStr">
        <is>
          <t>40</t>
        </is>
      </c>
      <c r="W21" s="20" t="inlineStr">
        <is>
          <t>https://paimai.jd.com/311005531</t>
        </is>
      </c>
    </row>
    <row r="22">
      <c r="A22" s="13" t="inlineStr">
        <is>
          <t>福建省</t>
        </is>
      </c>
      <c r="B22" s="13" t="inlineStr">
        <is>
          <t>福州市</t>
        </is>
      </c>
      <c r="C22" s="13" t="inlineStr">
        <is>
          <t>晋安区</t>
        </is>
      </c>
      <c r="D22" s="13" t="inlineStr">
        <is>
          <t>新店镇南平东路668号鲁能花园一期4#楼2605单元</t>
        </is>
      </c>
      <c r="E22" s="13" t="inlineStr">
        <is>
          <t>鲁能花园</t>
        </is>
      </c>
      <c r="F22" s="13" t="inlineStr">
        <is>
          <t>住宅</t>
        </is>
      </c>
      <c r="G22" s="13" t="inlineStr">
        <is>
          <t>京东拍卖</t>
        </is>
      </c>
      <c r="H22" s="13" t="inlineStr">
        <is>
          <t>一拍</t>
        </is>
      </c>
      <c r="I22" s="48" t="n">
        <v>46261.41666666666</v>
      </c>
      <c r="J22" s="13" t="inlineStr">
        <is>
          <t>是</t>
        </is>
      </c>
      <c r="K22" s="13" t="inlineStr">
        <is>
          <t>平潭县人民法院</t>
        </is>
      </c>
      <c r="L22" s="30" t="n">
        <v>110.11</v>
      </c>
      <c r="M22" s="33">
        <f>IF(AND(ISNUMBER(N22),ISNUMBER(L22),L22&gt;0),ROUND(N22/L22,2),"")</f>
        <v/>
      </c>
      <c r="N22" s="49" t="n">
        <v>1464640</v>
      </c>
      <c r="O22" s="49" t="n">
        <v>1830799.11</v>
      </c>
      <c r="P22" s="38">
        <f>IF(AND(ISNUMBER(N22),ISNUMBER(O22),O22&gt;0),N22/O22,"")</f>
        <v/>
      </c>
      <c r="Q22" s="44" t="n">
        <v>1654440</v>
      </c>
      <c r="R22" s="38">
        <f>IF(AND(ISNUMBER(Q22),ISNUMBER(N22),N22&gt;0),(Q22-N22)/N22,"")</f>
        <v/>
      </c>
      <c r="S22" s="33">
        <f>IF(AND(ISNUMBER(Q22),ISNUMBER(L22),L22&gt;0),ROUND(Q22/L22,2),"")</f>
        <v/>
      </c>
      <c r="T22" s="44" t="n">
        <v>27</v>
      </c>
      <c r="U22" s="44" t="n">
        <v>5</v>
      </c>
      <c r="V22" s="20" t="inlineStr">
        <is>
          <t>40</t>
        </is>
      </c>
      <c r="W22" s="20" t="inlineStr">
        <is>
          <t>https://paimai.jd.com/311005684</t>
        </is>
      </c>
    </row>
    <row r="23">
      <c r="A23" s="13" t="inlineStr">
        <is>
          <t>福建省</t>
        </is>
      </c>
      <c r="B23" s="13" t="inlineStr">
        <is>
          <t>福州市</t>
        </is>
      </c>
      <c r="C23" s="13" t="inlineStr">
        <is>
          <t>连江县</t>
        </is>
      </c>
      <c r="D23" s="13" t="inlineStr">
        <is>
          <t>潘渡乡沿江大道1号贵安新天地贵居苑H1幢801单元</t>
        </is>
      </c>
      <c r="E23" s="13" t="inlineStr">
        <is>
          <t>贵安新天地贵居苑</t>
        </is>
      </c>
      <c r="F23" s="13" t="inlineStr">
        <is>
          <t>住宅</t>
        </is>
      </c>
      <c r="G23" s="13" t="inlineStr">
        <is>
          <t>京东拍卖</t>
        </is>
      </c>
      <c r="H23" s="13" t="inlineStr">
        <is>
          <t>变卖</t>
        </is>
      </c>
      <c r="I23" s="48" t="n">
        <v>46295.41666666666</v>
      </c>
      <c r="J23" s="13" t="inlineStr">
        <is>
          <t>是</t>
        </is>
      </c>
      <c r="K23" s="13" t="inlineStr">
        <is>
          <t>福州市鼓楼区人民法院</t>
        </is>
      </c>
      <c r="L23" s="30" t="n">
        <v>138.6</v>
      </c>
      <c r="M23" s="33">
        <f>IF(AND(ISNUMBER(N23),ISNUMBER(L23),L23&gt;0),ROUND(N23/L23,2),"")</f>
        <v/>
      </c>
      <c r="N23" s="49" t="n">
        <v>240000</v>
      </c>
      <c r="O23" s="49" t="n">
        <v>401144.14</v>
      </c>
      <c r="P23" s="38">
        <f>IF(AND(ISNUMBER(N23),ISNUMBER(O23),O23&gt;0),N23/O23,"")</f>
        <v/>
      </c>
      <c r="Q23" s="44" t="n">
        <v>240000</v>
      </c>
      <c r="R23" s="38">
        <f>IF(AND(ISNUMBER(Q23),ISNUMBER(N23),N23&gt;0),(Q23-N23)/N23,"")</f>
        <v/>
      </c>
      <c r="S23" s="33">
        <f>IF(AND(ISNUMBER(Q23),ISNUMBER(L23),L23&gt;0),ROUND(Q23/L23,2),"")</f>
        <v/>
      </c>
      <c r="T23" s="44" t="n">
        <v>1</v>
      </c>
      <c r="U23" s="44" t="n">
        <v>1</v>
      </c>
      <c r="V23" s="20" t="inlineStr">
        <is>
          <t>40</t>
        </is>
      </c>
      <c r="W23" s="20" t="inlineStr">
        <is>
          <t>https://paimai.jd.com/310968961</t>
        </is>
      </c>
    </row>
    <row r="24">
      <c r="A24" s="13" t="inlineStr">
        <is>
          <t>福建省</t>
        </is>
      </c>
      <c r="B24" s="13" t="inlineStr">
        <is>
          <t>福州市</t>
        </is>
      </c>
      <c r="C24" s="13" t="inlineStr">
        <is>
          <t>连江县</t>
        </is>
      </c>
      <c r="D24" s="13" t="inlineStr">
        <is>
          <t>凤城镇文汇路3号凤翔名仕3号楼603室房地产</t>
        </is>
      </c>
      <c r="E24" s="13" t="inlineStr">
        <is>
          <t>凤翔名仕</t>
        </is>
      </c>
      <c r="F24" s="13" t="inlineStr">
        <is>
          <t>住宅</t>
        </is>
      </c>
      <c r="G24" s="13" t="inlineStr">
        <is>
          <t>京东拍卖</t>
        </is>
      </c>
      <c r="H24" s="13" t="inlineStr">
        <is>
          <t>二拍</t>
        </is>
      </c>
      <c r="I24" s="48" t="n">
        <v>43695.41666666666</v>
      </c>
      <c r="J24" s="13" t="inlineStr">
        <is>
          <t>是</t>
        </is>
      </c>
      <c r="K24" s="13" t="inlineStr">
        <is>
          <t>宁德市蕉城区人民法院</t>
        </is>
      </c>
      <c r="L24" s="30" t="n">
        <v>156.91</v>
      </c>
      <c r="M24" s="33">
        <f>IF(AND(ISNUMBER(N24),ISNUMBER(L24),L24&gt;0),ROUND(N24/L24,2),"")</f>
        <v/>
      </c>
      <c r="N24" s="49" t="n">
        <v>1600000</v>
      </c>
      <c r="O24" s="49" t="n">
        <v>2844300</v>
      </c>
      <c r="P24" s="38">
        <f>IF(AND(ISNUMBER(N24),ISNUMBER(O24),O24&gt;0),N24/O24,"")</f>
        <v/>
      </c>
      <c r="Q24" s="44" t="n">
        <v>1955000</v>
      </c>
      <c r="R24" s="38">
        <f>IF(AND(ISNUMBER(Q24),ISNUMBER(N24),N24&gt;0),(Q24-N24)/N24,"")</f>
        <v/>
      </c>
      <c r="S24" s="33">
        <f>IF(AND(ISNUMBER(Q24),ISNUMBER(L24),L24&gt;0),ROUND(Q24/L24,2),"")</f>
        <v/>
      </c>
      <c r="T24" s="44" t="n">
        <v>72</v>
      </c>
      <c r="U24" s="44" t="n">
        <v>4</v>
      </c>
      <c r="V24" s="20" t="inlineStr">
        <is>
          <t>40</t>
        </is>
      </c>
      <c r="W24" s="20" t="inlineStr">
        <is>
          <t>https://paimai.jd.com/110599649</t>
        </is>
      </c>
    </row>
    <row r="25">
      <c r="A25" s="13" t="inlineStr">
        <is>
          <t>福建省</t>
        </is>
      </c>
      <c r="B25" s="13" t="inlineStr">
        <is>
          <t>福州市</t>
        </is>
      </c>
      <c r="C25" s="13" t="inlineStr">
        <is>
          <t>台江区</t>
        </is>
      </c>
      <c r="D25" s="13" t="inlineStr">
        <is>
          <t>新港街道六一中路277号福满家园4#楼601单元</t>
        </is>
      </c>
      <c r="E25" s="13" t="inlineStr">
        <is>
          <t>福满家园</t>
        </is>
      </c>
      <c r="F25" s="13" t="inlineStr">
        <is>
          <t>住宅</t>
        </is>
      </c>
      <c r="G25" s="13" t="inlineStr">
        <is>
          <t>京东拍卖</t>
        </is>
      </c>
      <c r="H25" s="13" t="inlineStr">
        <is>
          <t>一拍</t>
        </is>
      </c>
      <c r="I25" s="48" t="n">
        <v>46260.41666666666</v>
      </c>
      <c r="J25" s="13" t="inlineStr">
        <is>
          <t>是</t>
        </is>
      </c>
      <c r="K25" s="13" t="inlineStr">
        <is>
          <t>福州市鼓楼区人民法院</t>
        </is>
      </c>
      <c r="L25" s="30" t="n">
        <v>143.53</v>
      </c>
      <c r="M25" s="33">
        <f>IF(AND(ISNUMBER(N25),ISNUMBER(L25),L25&gt;0),ROUND(N25/L25,2),"")</f>
        <v/>
      </c>
      <c r="N25" s="49" t="n">
        <v>1320000</v>
      </c>
      <c r="O25" s="49" t="n">
        <v>1881104.18</v>
      </c>
      <c r="P25" s="38">
        <f>IF(AND(ISNUMBER(N25),ISNUMBER(O25),O25&gt;0),N25/O25,"")</f>
        <v/>
      </c>
      <c r="Q25" s="44" t="n">
        <v>1386000</v>
      </c>
      <c r="R25" s="38">
        <f>IF(AND(ISNUMBER(Q25),ISNUMBER(N25),N25&gt;0),(Q25-N25)/N25,"")</f>
        <v/>
      </c>
      <c r="S25" s="33">
        <f>IF(AND(ISNUMBER(Q25),ISNUMBER(L25),L25&gt;0),ROUND(Q25/L25,2),"")</f>
        <v/>
      </c>
      <c r="T25" s="44" t="n">
        <v>12</v>
      </c>
      <c r="U25" s="44" t="n">
        <v>2</v>
      </c>
      <c r="V25" s="20" t="inlineStr">
        <is>
          <t>40</t>
        </is>
      </c>
      <c r="W25" s="20" t="inlineStr">
        <is>
          <t>https://paimai.jd.com/311005678</t>
        </is>
      </c>
    </row>
    <row r="26">
      <c r="A26" s="13" t="inlineStr">
        <is>
          <t>福建省</t>
        </is>
      </c>
      <c r="B26" s="13" t="inlineStr">
        <is>
          <t>福州市</t>
        </is>
      </c>
      <c r="C26" s="13" t="inlineStr">
        <is>
          <t>台江区</t>
        </is>
      </c>
      <c r="D26" s="13" t="inlineStr">
        <is>
          <t>上海街道茶中路20号2001单元</t>
        </is>
      </c>
      <c r="E26" s="13" t="inlineStr">
        <is>
          <t>商住小区</t>
        </is>
      </c>
      <c r="F26" s="13" t="inlineStr">
        <is>
          <t>住宅</t>
        </is>
      </c>
      <c r="G26" s="13" t="inlineStr">
        <is>
          <t>京东拍卖</t>
        </is>
      </c>
      <c r="H26" s="13" t="inlineStr">
        <is>
          <t>一拍</t>
        </is>
      </c>
      <c r="I26" s="48" t="n">
        <v>43816.41666666666</v>
      </c>
      <c r="J26" s="13" t="inlineStr">
        <is>
          <t>是</t>
        </is>
      </c>
      <c r="K26" s="13" t="inlineStr">
        <is>
          <t>泉州市泉港区人民法院</t>
        </is>
      </c>
      <c r="L26" s="30" t="n">
        <v>118.8</v>
      </c>
      <c r="M26" s="33">
        <f>IF(AND(ISNUMBER(N26),ISNUMBER(L26),L26&gt;0),ROUND(N26/L26,2),"")</f>
        <v/>
      </c>
      <c r="N26" s="49" t="n">
        <v>2150000</v>
      </c>
      <c r="O26" s="49" t="n">
        <v>3063400</v>
      </c>
      <c r="P26" s="38">
        <f>IF(AND(ISNUMBER(N26),ISNUMBER(O26),O26&gt;0),N26/O26,"")</f>
        <v/>
      </c>
      <c r="Q26" s="44" t="n">
        <v>2150000</v>
      </c>
      <c r="R26" s="38">
        <f>IF(AND(ISNUMBER(Q26),ISNUMBER(N26),N26&gt;0),(Q26-N26)/N26,"")</f>
        <v/>
      </c>
      <c r="S26" s="33">
        <f>IF(AND(ISNUMBER(Q26),ISNUMBER(L26),L26&gt;0),ROUND(Q26/L26,2),"")</f>
        <v/>
      </c>
      <c r="T26" s="44" t="n">
        <v>1</v>
      </c>
      <c r="U26" s="44" t="n">
        <v>2</v>
      </c>
      <c r="V26" s="20" t="inlineStr">
        <is>
          <t>40</t>
        </is>
      </c>
      <c r="W26" s="20" t="inlineStr">
        <is>
          <t>https://paimai.jd.com/112098649</t>
        </is>
      </c>
    </row>
    <row r="27">
      <c r="A27" s="13" t="inlineStr">
        <is>
          <t>福建省</t>
        </is>
      </c>
      <c r="B27" s="13" t="inlineStr">
        <is>
          <t>福州市</t>
        </is>
      </c>
      <c r="C27" s="13" t="inlineStr">
        <is>
          <t>台江区</t>
        </is>
      </c>
      <c r="D27" s="13" t="inlineStr">
        <is>
          <t>鳌峰街道曙光路132号申发大厦12层04办公</t>
        </is>
      </c>
      <c r="E27" s="13" t="inlineStr">
        <is>
          <t>申发大厦</t>
        </is>
      </c>
      <c r="F27" s="13" t="inlineStr">
        <is>
          <t>工业</t>
        </is>
      </c>
      <c r="G27" s="13" t="inlineStr">
        <is>
          <t>京东拍卖</t>
        </is>
      </c>
      <c r="H27" s="13" t="inlineStr">
        <is>
          <t>二拍</t>
        </is>
      </c>
      <c r="I27" s="48" t="n">
        <v>43559.41666666666</v>
      </c>
      <c r="J27" s="13" t="inlineStr">
        <is>
          <t>是</t>
        </is>
      </c>
      <c r="K27" s="13" t="inlineStr">
        <is>
          <t>隆尧县人民法院</t>
        </is>
      </c>
      <c r="L27" s="30" t="n">
        <v>148.12</v>
      </c>
      <c r="M27" s="33">
        <f>IF(AND(ISNUMBER(N27),ISNUMBER(L27),L27&gt;0),ROUND(N27/L27,2),"")</f>
        <v/>
      </c>
      <c r="N27" s="49" t="n">
        <v>1800000</v>
      </c>
      <c r="O27" s="49" t="n">
        <v>2221800</v>
      </c>
      <c r="P27" s="38">
        <f>IF(AND(ISNUMBER(N27),ISNUMBER(O27),O27&gt;0),N27/O27,"")</f>
        <v/>
      </c>
      <c r="Q27" s="44" t="n">
        <v>2187000</v>
      </c>
      <c r="R27" s="38">
        <f>IF(AND(ISNUMBER(Q27),ISNUMBER(N27),N27&gt;0),(Q27-N27)/N27,"")</f>
        <v/>
      </c>
      <c r="S27" s="33">
        <f>IF(AND(ISNUMBER(Q27),ISNUMBER(L27),L27&gt;0),ROUND(Q27/L27,2),"")</f>
        <v/>
      </c>
      <c r="T27" s="44" t="n">
        <v>44</v>
      </c>
      <c r="U27" s="44" t="n">
        <v>2</v>
      </c>
      <c r="V27" s="20" t="inlineStr">
        <is>
          <t>40</t>
        </is>
      </c>
      <c r="W27" s="20" t="inlineStr">
        <is>
          <t>https://paimai.jd.com/108786157</t>
        </is>
      </c>
    </row>
    <row r="28">
      <c r="A28" s="13" t="inlineStr">
        <is>
          <t>福建省</t>
        </is>
      </c>
      <c r="B28" s="13" t="inlineStr">
        <is>
          <t>福州市</t>
        </is>
      </c>
      <c r="C28" s="13" t="inlineStr">
        <is>
          <t>台江区</t>
        </is>
      </c>
      <c r="D28" s="13" t="inlineStr">
        <is>
          <t>苍霞街道白马南路256号改造二期汀州小学地块安置房1号楼1层11店面</t>
        </is>
      </c>
      <c r="E28" s="13" t="inlineStr">
        <is>
          <t>改造二期汀州小学地块安置房</t>
        </is>
      </c>
      <c r="F28" s="13" t="inlineStr">
        <is>
          <t>工业</t>
        </is>
      </c>
      <c r="G28" s="13" t="inlineStr">
        <is>
          <t>京东拍卖</t>
        </is>
      </c>
      <c r="H28" s="13" t="inlineStr">
        <is>
          <t>一拍</t>
        </is>
      </c>
      <c r="I28" s="48" t="n">
        <v>43522.41666666666</v>
      </c>
      <c r="J28" s="13" t="inlineStr">
        <is>
          <t>是</t>
        </is>
      </c>
      <c r="K28" s="13" t="inlineStr">
        <is>
          <t>郑州市上街区人民法院</t>
        </is>
      </c>
      <c r="L28" s="30" t="n">
        <v>25.63</v>
      </c>
      <c r="M28" s="33">
        <f>IF(AND(ISNUMBER(N28),ISNUMBER(L28),L28&gt;0),ROUND(N28/L28,2),"")</f>
        <v/>
      </c>
      <c r="N28" s="49" t="n">
        <v>532900</v>
      </c>
      <c r="O28" s="49" t="n">
        <v>761263</v>
      </c>
      <c r="P28" s="38">
        <f>IF(AND(ISNUMBER(N28),ISNUMBER(O28),O28&gt;0),N28/O28,"")</f>
        <v/>
      </c>
      <c r="Q28" s="44" t="n">
        <v>537900</v>
      </c>
      <c r="R28" s="38">
        <f>IF(AND(ISNUMBER(Q28),ISNUMBER(N28),N28&gt;0),(Q28-N28)/N28,"")</f>
        <v/>
      </c>
      <c r="S28" s="33">
        <f>IF(AND(ISNUMBER(Q28),ISNUMBER(L28),L28&gt;0),ROUND(Q28/L28,2),"")</f>
        <v/>
      </c>
      <c r="T28" s="44" t="n">
        <v>2</v>
      </c>
      <c r="U28" s="44" t="n">
        <v>3</v>
      </c>
      <c r="V28" s="20" t="inlineStr">
        <is>
          <t>40</t>
        </is>
      </c>
      <c r="W28" s="20" t="inlineStr">
        <is>
          <t>https://paimai.jd.com/108339729</t>
        </is>
      </c>
    </row>
    <row r="29">
      <c r="A29" s="13" t="inlineStr">
        <is>
          <t>福建省</t>
        </is>
      </c>
      <c r="B29" s="13" t="inlineStr">
        <is>
          <t>福州市</t>
        </is>
      </c>
      <c r="C29" s="13" t="inlineStr">
        <is>
          <t>台江区</t>
        </is>
      </c>
      <c r="D29" s="13" t="inlineStr">
        <is>
          <t>苍霞街道白马南路256号改造二期汀州小学地块安置房1号楼1层05店面</t>
        </is>
      </c>
      <c r="E29" s="13" t="inlineStr">
        <is>
          <t>改造二期汀州小学地块安置房</t>
        </is>
      </c>
      <c r="F29" s="13" t="inlineStr">
        <is>
          <t>工业</t>
        </is>
      </c>
      <c r="G29" s="13" t="inlineStr">
        <is>
          <t>京东拍卖</t>
        </is>
      </c>
      <c r="H29" s="13" t="inlineStr">
        <is>
          <t>一拍</t>
        </is>
      </c>
      <c r="I29" s="48" t="n">
        <v>43522.41666666666</v>
      </c>
      <c r="J29" s="13" t="inlineStr">
        <is>
          <t>是</t>
        </is>
      </c>
      <c r="K29" s="13" t="inlineStr">
        <is>
          <t>郑州市上街区人民法院</t>
        </is>
      </c>
      <c r="L29" s="30" t="n">
        <v>25.63</v>
      </c>
      <c r="M29" s="33">
        <f>IF(AND(ISNUMBER(N29),ISNUMBER(L29),L29&gt;0),ROUND(N29/L29,2),"")</f>
        <v/>
      </c>
      <c r="N29" s="49" t="n">
        <v>532900</v>
      </c>
      <c r="O29" s="49" t="n">
        <v>761263</v>
      </c>
      <c r="P29" s="38">
        <f>IF(AND(ISNUMBER(N29),ISNUMBER(O29),O29&gt;0),N29/O29,"")</f>
        <v/>
      </c>
      <c r="Q29" s="44" t="n">
        <v>602900</v>
      </c>
      <c r="R29" s="38">
        <f>IF(AND(ISNUMBER(Q29),ISNUMBER(N29),N29&gt;0),(Q29-N29)/N29,"")</f>
        <v/>
      </c>
      <c r="S29" s="33">
        <f>IF(AND(ISNUMBER(Q29),ISNUMBER(L29),L29&gt;0),ROUND(Q29/L29,2),"")</f>
        <v/>
      </c>
      <c r="T29" s="44" t="n">
        <v>15</v>
      </c>
      <c r="U29" s="44" t="n">
        <v>3</v>
      </c>
      <c r="V29" s="20" t="inlineStr">
        <is>
          <t>40</t>
        </is>
      </c>
      <c r="W29" s="20" t="inlineStr">
        <is>
          <t>https://paimai.jd.com/108339838</t>
        </is>
      </c>
    </row>
    <row r="30">
      <c r="A30" s="13" t="inlineStr">
        <is>
          <t>福建省</t>
        </is>
      </c>
      <c r="B30" s="13" t="inlineStr">
        <is>
          <t>福州市</t>
        </is>
      </c>
      <c r="C30" s="13" t="inlineStr">
        <is>
          <t>台江区</t>
        </is>
      </c>
      <c r="D30" s="13" t="inlineStr">
        <is>
          <t>苍霞街道白马南路256号改造二期汀州小学地块安置房1号楼1层10店面</t>
        </is>
      </c>
      <c r="E30" s="13" t="inlineStr">
        <is>
          <t>改造二期汀州小学地块安置房</t>
        </is>
      </c>
      <c r="F30" s="13" t="inlineStr">
        <is>
          <t>工业</t>
        </is>
      </c>
      <c r="G30" s="13" t="inlineStr">
        <is>
          <t>京东拍卖</t>
        </is>
      </c>
      <c r="H30" s="13" t="inlineStr">
        <is>
          <t>一拍</t>
        </is>
      </c>
      <c r="I30" s="48" t="n">
        <v>43522.41666666666</v>
      </c>
      <c r="J30" s="13" t="inlineStr">
        <is>
          <t>是</t>
        </is>
      </c>
      <c r="K30" s="13" t="inlineStr">
        <is>
          <t>郑州市上街区人民法院</t>
        </is>
      </c>
      <c r="L30" s="30" t="n">
        <v>25.63</v>
      </c>
      <c r="M30" s="33">
        <f>IF(AND(ISNUMBER(N30),ISNUMBER(L30),L30&gt;0),ROUND(N30/L30,2),"")</f>
        <v/>
      </c>
      <c r="N30" s="49" t="n">
        <v>532900</v>
      </c>
      <c r="O30" s="49" t="n">
        <v>761263</v>
      </c>
      <c r="P30" s="38">
        <f>IF(AND(ISNUMBER(N30),ISNUMBER(O30),O30&gt;0),N30/O30,"")</f>
        <v/>
      </c>
      <c r="Q30" s="44" t="n">
        <v>577900</v>
      </c>
      <c r="R30" s="38">
        <f>IF(AND(ISNUMBER(Q30),ISNUMBER(N30),N30&gt;0),(Q30-N30)/N30,"")</f>
        <v/>
      </c>
      <c r="S30" s="33">
        <f>IF(AND(ISNUMBER(Q30),ISNUMBER(L30),L30&gt;0),ROUND(Q30/L30,2),"")</f>
        <v/>
      </c>
      <c r="T30" s="44" t="n">
        <v>8</v>
      </c>
      <c r="U30" s="44" t="n">
        <v>3</v>
      </c>
      <c r="V30" s="20" t="inlineStr">
        <is>
          <t>40</t>
        </is>
      </c>
      <c r="W30" s="20" t="inlineStr">
        <is>
          <t>https://paimai.jd.com/108340074</t>
        </is>
      </c>
    </row>
    <row r="31">
      <c r="A31" s="13" t="inlineStr">
        <is>
          <t>福建省</t>
        </is>
      </c>
      <c r="B31" s="13" t="inlineStr">
        <is>
          <t>福州市</t>
        </is>
      </c>
      <c r="C31" s="13" t="inlineStr">
        <is>
          <t>台江区</t>
        </is>
      </c>
      <c r="D31" s="13" t="inlineStr">
        <is>
          <t>苍霞街道白马南路256号改造二期汀州小学地块安置房1号楼1层07店面</t>
        </is>
      </c>
      <c r="E31" s="13" t="inlineStr">
        <is>
          <t>改造二期汀州小学地块安置房</t>
        </is>
      </c>
      <c r="F31" s="13" t="inlineStr">
        <is>
          <t>工业</t>
        </is>
      </c>
      <c r="G31" s="13" t="inlineStr">
        <is>
          <t>京东拍卖</t>
        </is>
      </c>
      <c r="H31" s="13" t="inlineStr">
        <is>
          <t>一拍</t>
        </is>
      </c>
      <c r="I31" s="48" t="n">
        <v>43522.41666666666</v>
      </c>
      <c r="J31" s="13" t="inlineStr">
        <is>
          <t>是</t>
        </is>
      </c>
      <c r="K31" s="13" t="inlineStr">
        <is>
          <t>郑州市上街区人民法院</t>
        </is>
      </c>
      <c r="L31" s="30" t="n">
        <v>25.63</v>
      </c>
      <c r="M31" s="33">
        <f>IF(AND(ISNUMBER(N31),ISNUMBER(L31),L31&gt;0),ROUND(N31/L31,2),"")</f>
        <v/>
      </c>
      <c r="N31" s="49" t="n">
        <v>532900</v>
      </c>
      <c r="O31" s="49" t="n">
        <v>761263</v>
      </c>
      <c r="P31" s="38">
        <f>IF(AND(ISNUMBER(N31),ISNUMBER(O31),O31&gt;0),N31/O31,"")</f>
        <v/>
      </c>
      <c r="Q31" s="44" t="n">
        <v>687900</v>
      </c>
      <c r="R31" s="38">
        <f>IF(AND(ISNUMBER(Q31),ISNUMBER(N31),N31&gt;0),(Q31-N31)/N31,"")</f>
        <v/>
      </c>
      <c r="S31" s="33">
        <f>IF(AND(ISNUMBER(Q31),ISNUMBER(L31),L31&gt;0),ROUND(Q31/L31,2),"")</f>
        <v/>
      </c>
      <c r="T31" s="44" t="n">
        <v>32</v>
      </c>
      <c r="U31" s="44" t="n">
        <v>4</v>
      </c>
      <c r="V31" s="20" t="inlineStr">
        <is>
          <t>40</t>
        </is>
      </c>
      <c r="W31" s="20" t="inlineStr">
        <is>
          <t>https://paimai.jd.com/108340083</t>
        </is>
      </c>
    </row>
    <row r="32">
      <c r="A32" s="13" t="inlineStr">
        <is>
          <t>福建省</t>
        </is>
      </c>
      <c r="B32" s="13" t="inlineStr">
        <is>
          <t>福州市</t>
        </is>
      </c>
      <c r="C32" s="13" t="inlineStr">
        <is>
          <t>台江区</t>
        </is>
      </c>
      <c r="D32" s="13" t="inlineStr">
        <is>
          <t>苍霞街道白马南路256号改造二期汀州小学地块安置房1号楼1层09店面</t>
        </is>
      </c>
      <c r="E32" s="13" t="inlineStr">
        <is>
          <t>改造二期汀州小学地块安置房</t>
        </is>
      </c>
      <c r="F32" s="13" t="inlineStr">
        <is>
          <t>工业</t>
        </is>
      </c>
      <c r="G32" s="13" t="inlineStr">
        <is>
          <t>京东拍卖</t>
        </is>
      </c>
      <c r="H32" s="13" t="inlineStr">
        <is>
          <t>一拍</t>
        </is>
      </c>
      <c r="I32" s="48" t="n">
        <v>43522.41666666666</v>
      </c>
      <c r="J32" s="13" t="inlineStr">
        <is>
          <t>是</t>
        </is>
      </c>
      <c r="K32" s="13" t="inlineStr">
        <is>
          <t>郑州市上街区人民法院</t>
        </is>
      </c>
      <c r="L32" s="30" t="n">
        <v>25.63</v>
      </c>
      <c r="M32" s="33">
        <f>IF(AND(ISNUMBER(N32),ISNUMBER(L32),L32&gt;0),ROUND(N32/L32,2),"")</f>
        <v/>
      </c>
      <c r="N32" s="49" t="n">
        <v>532900</v>
      </c>
      <c r="O32" s="49" t="n">
        <v>761263</v>
      </c>
      <c r="P32" s="38">
        <f>IF(AND(ISNUMBER(N32),ISNUMBER(O32),O32&gt;0),N32/O32,"")</f>
        <v/>
      </c>
      <c r="Q32" s="44" t="n">
        <v>542900</v>
      </c>
      <c r="R32" s="38">
        <f>IF(AND(ISNUMBER(Q32),ISNUMBER(N32),N32&gt;0),(Q32-N32)/N32,"")</f>
        <v/>
      </c>
      <c r="S32" s="33">
        <f>IF(AND(ISNUMBER(Q32),ISNUMBER(L32),L32&gt;0),ROUND(Q32/L32,2),"")</f>
        <v/>
      </c>
      <c r="T32" s="44" t="n">
        <v>3</v>
      </c>
      <c r="U32" s="44" t="n">
        <v>4</v>
      </c>
      <c r="V32" s="20" t="inlineStr">
        <is>
          <t>40</t>
        </is>
      </c>
      <c r="W32" s="20" t="inlineStr">
        <is>
          <t>https://paimai.jd.com/108340251</t>
        </is>
      </c>
    </row>
    <row r="33">
      <c r="A33" s="13" t="inlineStr">
        <is>
          <t>福建省</t>
        </is>
      </c>
      <c r="B33" s="13" t="inlineStr">
        <is>
          <t>福州市</t>
        </is>
      </c>
      <c r="C33" s="13" t="inlineStr">
        <is>
          <t>台江区</t>
        </is>
      </c>
      <c r="D33" s="13" t="inlineStr">
        <is>
          <t>苍霞街道白马南路256号改造二期汀州小学地块安置房1号楼1层06店面</t>
        </is>
      </c>
      <c r="E33" s="13" t="inlineStr">
        <is>
          <t>改造二期汀州小学地块安置房</t>
        </is>
      </c>
      <c r="F33" s="13" t="inlineStr">
        <is>
          <t>工业</t>
        </is>
      </c>
      <c r="G33" s="13" t="inlineStr">
        <is>
          <t>京东拍卖</t>
        </is>
      </c>
      <c r="H33" s="13" t="inlineStr">
        <is>
          <t>一拍</t>
        </is>
      </c>
      <c r="I33" s="48" t="n">
        <v>43522.41666666666</v>
      </c>
      <c r="J33" s="13" t="inlineStr">
        <is>
          <t>是</t>
        </is>
      </c>
      <c r="K33" s="13" t="inlineStr">
        <is>
          <t>郑州市上街区人民法院</t>
        </is>
      </c>
      <c r="L33" s="30" t="n">
        <v>25.63</v>
      </c>
      <c r="M33" s="33">
        <f>IF(AND(ISNUMBER(N33),ISNUMBER(L33),L33&gt;0),ROUND(N33/L33,2),"")</f>
        <v/>
      </c>
      <c r="N33" s="49" t="n">
        <v>532900</v>
      </c>
      <c r="O33" s="49" t="n">
        <v>761263</v>
      </c>
      <c r="P33" s="38">
        <f>IF(AND(ISNUMBER(N33),ISNUMBER(O33),O33&gt;0),N33/O33,"")</f>
        <v/>
      </c>
      <c r="Q33" s="44" t="n">
        <v>682900</v>
      </c>
      <c r="R33" s="38">
        <f>IF(AND(ISNUMBER(Q33),ISNUMBER(N33),N33&gt;0),(Q33-N33)/N33,"")</f>
        <v/>
      </c>
      <c r="S33" s="33">
        <f>IF(AND(ISNUMBER(Q33),ISNUMBER(L33),L33&gt;0),ROUND(Q33/L33,2),"")</f>
        <v/>
      </c>
      <c r="T33" s="44" t="n">
        <v>31</v>
      </c>
      <c r="U33" s="44" t="n">
        <v>4</v>
      </c>
      <c r="V33" s="20" t="inlineStr">
        <is>
          <t>40</t>
        </is>
      </c>
      <c r="W33" s="20" t="inlineStr">
        <is>
          <t>https://paimai.jd.com/108340264</t>
        </is>
      </c>
    </row>
    <row r="34">
      <c r="A34" s="13" t="inlineStr">
        <is>
          <t>福建省</t>
        </is>
      </c>
      <c r="B34" s="13" t="inlineStr">
        <is>
          <t>福州市</t>
        </is>
      </c>
      <c r="C34" s="13" t="inlineStr">
        <is>
          <t>台江区</t>
        </is>
      </c>
      <c r="D34" s="13" t="inlineStr">
        <is>
          <t>苍霞街道白马南路256号改造二期汀州小学地块安置房1号楼1层08店面</t>
        </is>
      </c>
      <c r="E34" s="13" t="inlineStr">
        <is>
          <t>改造二期汀州小学地块安置房</t>
        </is>
      </c>
      <c r="F34" s="13" t="inlineStr">
        <is>
          <t>工业</t>
        </is>
      </c>
      <c r="G34" s="13" t="inlineStr">
        <is>
          <t>京东拍卖</t>
        </is>
      </c>
      <c r="H34" s="13" t="inlineStr">
        <is>
          <t>一拍</t>
        </is>
      </c>
      <c r="I34" s="48" t="n">
        <v>43522.41666666666</v>
      </c>
      <c r="J34" s="13" t="inlineStr">
        <is>
          <t>是</t>
        </is>
      </c>
      <c r="K34" s="13" t="inlineStr">
        <is>
          <t>郑州市上街区人民法院</t>
        </is>
      </c>
      <c r="L34" s="30" t="n">
        <v>25.61</v>
      </c>
      <c r="M34" s="33">
        <f>IF(AND(ISNUMBER(N34),ISNUMBER(L34),L34&gt;0),ROUND(N34/L34,2),"")</f>
        <v/>
      </c>
      <c r="N34" s="49" t="n">
        <v>532900</v>
      </c>
      <c r="O34" s="49" t="n">
        <v>760669</v>
      </c>
      <c r="P34" s="38">
        <f>IF(AND(ISNUMBER(N34),ISNUMBER(O34),O34&gt;0),N34/O34,"")</f>
        <v/>
      </c>
      <c r="Q34" s="44" t="n">
        <v>547900</v>
      </c>
      <c r="R34" s="38">
        <f>IF(AND(ISNUMBER(Q34),ISNUMBER(N34),N34&gt;0),(Q34-N34)/N34,"")</f>
        <v/>
      </c>
      <c r="S34" s="33">
        <f>IF(AND(ISNUMBER(Q34),ISNUMBER(L34),L34&gt;0),ROUND(Q34/L34,2),"")</f>
        <v/>
      </c>
      <c r="T34" s="44" t="n">
        <v>4</v>
      </c>
      <c r="U34" s="44" t="n">
        <v>2</v>
      </c>
      <c r="V34" s="20" t="inlineStr">
        <is>
          <t>40</t>
        </is>
      </c>
      <c r="W34" s="20" t="inlineStr">
        <is>
          <t>https://paimai.jd.com/108340284</t>
        </is>
      </c>
    </row>
    <row r="35">
      <c r="A35" s="13" t="inlineStr">
        <is>
          <t>福建省</t>
        </is>
      </c>
      <c r="B35" s="13" t="inlineStr">
        <is>
          <t>福州市</t>
        </is>
      </c>
      <c r="C35" s="13" t="inlineStr">
        <is>
          <t>台江区</t>
        </is>
      </c>
      <c r="D35" s="13" t="inlineStr">
        <is>
          <t>义洲街道锦标路37号义州新区北兴区B2地块7号楼1层01店面</t>
        </is>
      </c>
      <c r="E35" s="13" t="inlineStr">
        <is>
          <t>义州新区北兴区B2地块</t>
        </is>
      </c>
      <c r="F35" s="13" t="inlineStr">
        <is>
          <t>工业</t>
        </is>
      </c>
      <c r="G35" s="13" t="inlineStr">
        <is>
          <t>京东拍卖</t>
        </is>
      </c>
      <c r="H35" s="13" t="inlineStr">
        <is>
          <t>一拍</t>
        </is>
      </c>
      <c r="I35" s="48" t="n">
        <v>43522.41666666666</v>
      </c>
      <c r="J35" s="13" t="inlineStr">
        <is>
          <t>是</t>
        </is>
      </c>
      <c r="K35" s="13" t="inlineStr">
        <is>
          <t>郑州市上街区人民法院</t>
        </is>
      </c>
      <c r="L35" s="30" t="n">
        <v>40.48</v>
      </c>
      <c r="M35" s="33">
        <f>IF(AND(ISNUMBER(N35),ISNUMBER(L35),L35&gt;0),ROUND(N35/L35,2),"")</f>
        <v/>
      </c>
      <c r="N35" s="49" t="n">
        <v>1117300</v>
      </c>
      <c r="O35" s="49" t="n">
        <v>1117629</v>
      </c>
      <c r="P35" s="38">
        <f>IF(AND(ISNUMBER(N35),ISNUMBER(O35),O35&gt;0),N35/O35,"")</f>
        <v/>
      </c>
      <c r="Q35" s="44" t="n">
        <v>1117300</v>
      </c>
      <c r="R35" s="38">
        <f>IF(AND(ISNUMBER(Q35),ISNUMBER(N35),N35&gt;0),(Q35-N35)/N35,"")</f>
        <v/>
      </c>
      <c r="S35" s="33">
        <f>IF(AND(ISNUMBER(Q35),ISNUMBER(L35),L35&gt;0),ROUND(Q35/L35,2),"")</f>
        <v/>
      </c>
      <c r="T35" s="44" t="n">
        <v>1</v>
      </c>
      <c r="U35" s="44" t="n">
        <v>1</v>
      </c>
      <c r="V35" s="20" t="inlineStr">
        <is>
          <t>40</t>
        </is>
      </c>
      <c r="W35" s="20" t="inlineStr">
        <is>
          <t>https://paimai.jd.com/108340345</t>
        </is>
      </c>
    </row>
    <row r="36">
      <c r="A36" s="13" t="inlineStr">
        <is>
          <t>福建省</t>
        </is>
      </c>
      <c r="B36" s="13" t="inlineStr">
        <is>
          <t>福州市</t>
        </is>
      </c>
      <c r="C36" s="13" t="inlineStr">
        <is>
          <t>台江区</t>
        </is>
      </c>
      <c r="D36" s="13" t="inlineStr">
        <is>
          <t>苍霞街道白马南路256号改造二期汀州小学地块安置房1号楼1层04店面</t>
        </is>
      </c>
      <c r="E36" s="13" t="inlineStr">
        <is>
          <t>改造二期汀州小学地块安置房</t>
        </is>
      </c>
      <c r="F36" s="13" t="inlineStr">
        <is>
          <t>工业</t>
        </is>
      </c>
      <c r="G36" s="13" t="inlineStr">
        <is>
          <t>京东拍卖</t>
        </is>
      </c>
      <c r="H36" s="13" t="inlineStr">
        <is>
          <t>一拍</t>
        </is>
      </c>
      <c r="I36" s="60" t="n">
        <v>43522.41666666666</v>
      </c>
      <c r="J36" s="13" t="inlineStr">
        <is>
          <t>是</t>
        </is>
      </c>
      <c r="K36" s="13" t="inlineStr">
        <is>
          <t>郑州市上街区人民法院</t>
        </is>
      </c>
      <c r="L36" s="29" t="n">
        <v>25.63</v>
      </c>
      <c r="M36" s="33">
        <f>IF(AND(ISNUMBER(N36),ISNUMBER(L36),L36&gt;0),ROUND(N36/L36,2),"")</f>
        <v/>
      </c>
      <c r="N36" s="49" t="n">
        <v>532900</v>
      </c>
      <c r="O36" s="49" t="n">
        <v>761263</v>
      </c>
      <c r="P36" s="38">
        <f>IF(AND(ISNUMBER(N36),ISNUMBER(O36),O36&gt;0),N36/O36,"")</f>
        <v/>
      </c>
      <c r="Q36" s="44" t="n">
        <v>557900</v>
      </c>
      <c r="R36" s="38">
        <f>IF(AND(ISNUMBER(Q36),ISNUMBER(N36),N36&gt;0),(Q36-N36)/N36,"")</f>
        <v/>
      </c>
      <c r="S36" s="33">
        <f>IF(AND(ISNUMBER(Q36),ISNUMBER(L36),L36&gt;0),ROUND(Q36/L36,2),"")</f>
        <v/>
      </c>
      <c r="T36" s="47" t="n">
        <v>6</v>
      </c>
      <c r="U36" s="47" t="n">
        <v>4</v>
      </c>
      <c r="V36" s="13" t="inlineStr">
        <is>
          <t>40</t>
        </is>
      </c>
      <c r="W36" s="20" t="inlineStr">
        <is>
          <t>https://paimai.jd.com/108340461</t>
        </is>
      </c>
    </row>
    <row r="37">
      <c r="A37" s="24" t="inlineStr">
        <is>
          <t>福建省</t>
        </is>
      </c>
      <c r="B37" s="24" t="inlineStr">
        <is>
          <t>福州市</t>
        </is>
      </c>
      <c r="C37" s="24" t="inlineStr">
        <is>
          <t>台江区</t>
        </is>
      </c>
      <c r="D37" s="24" t="inlineStr">
        <is>
          <t>茶亭街道儿童公园路99号世茂茶亭俪园2#楼204单元房地产</t>
        </is>
      </c>
      <c r="E37" s="24" t="inlineStr">
        <is>
          <t>儿童公园</t>
        </is>
      </c>
      <c r="F37" s="24" t="inlineStr">
        <is>
          <t>住宅</t>
        </is>
      </c>
      <c r="G37" s="24" t="inlineStr">
        <is>
          <t>京东拍卖</t>
        </is>
      </c>
      <c r="H37" s="24" t="inlineStr">
        <is>
          <t>二拍</t>
        </is>
      </c>
      <c r="I37" s="50" t="n">
        <v>43488.41666666666</v>
      </c>
      <c r="J37" s="24" t="inlineStr">
        <is>
          <t>是</t>
        </is>
      </c>
      <c r="K37" s="24" t="inlineStr">
        <is>
          <t>东莞市第一人民法院</t>
        </is>
      </c>
      <c r="L37" s="51" t="n">
        <v>197.29</v>
      </c>
      <c r="M37" s="52">
        <f>IF(AND(ISNUMBER(N37),ISNUMBER(L37),L37&gt;0),ROUND(N37/L37,2),"")</f>
        <v/>
      </c>
      <c r="N37" s="53" t="n">
        <v>3402864</v>
      </c>
      <c r="O37" s="53" t="n">
        <v>6076532</v>
      </c>
      <c r="P37" s="54">
        <f>IF(AND(ISNUMBER(N37),ISNUMBER(O37),O37&gt;0),N37/O37,"")</f>
        <v/>
      </c>
      <c r="Q37" s="61" t="n">
        <v>4122864</v>
      </c>
      <c r="R37" s="54">
        <f>IF(AND(ISNUMBER(Q37),ISNUMBER(N37),N37&gt;0),(Q37-N37)/N37,"")</f>
        <v/>
      </c>
      <c r="S37" s="52">
        <f>IF(AND(ISNUMBER(Q37),ISNUMBER(L37),L37&gt;0),ROUND(Q37/L37,2),"")</f>
        <v/>
      </c>
      <c r="T37" s="61" t="n">
        <v>22</v>
      </c>
      <c r="U37" s="61" t="n">
        <v>7</v>
      </c>
      <c r="V37" s="24" t="inlineStr">
        <is>
          <t>40</t>
        </is>
      </c>
      <c r="W37" s="24" t="inlineStr">
        <is>
          <t>https://paimai.jd.com/108091403</t>
        </is>
      </c>
    </row>
    <row r="38">
      <c r="A38" s="24" t="inlineStr">
        <is>
          <t>福建省</t>
        </is>
      </c>
      <c r="B38" s="24" t="inlineStr">
        <is>
          <t>泉州市</t>
        </is>
      </c>
      <c r="C38" s="24" t="inlineStr">
        <is>
          <t>鲤城区</t>
        </is>
      </c>
      <c r="D38" s="24" t="inlineStr">
        <is>
          <t>江南新区笋江路南侧嘉龙·尚城花园2号楼店面16（复式）</t>
        </is>
      </c>
      <c r="E38" s="24" t="inlineStr">
        <is>
          <t>嘉龙·尚城花园</t>
        </is>
      </c>
      <c r="F38" s="24" t="inlineStr">
        <is>
          <t>商业</t>
        </is>
      </c>
      <c r="G38" s="24" t="inlineStr">
        <is>
          <t>京东拍卖</t>
        </is>
      </c>
      <c r="H38" s="24" t="inlineStr">
        <is>
          <t>变卖</t>
        </is>
      </c>
      <c r="I38" s="50" t="n">
        <v>46317.41666666666</v>
      </c>
      <c r="J38" s="24" t="inlineStr">
        <is>
          <t>是</t>
        </is>
      </c>
      <c r="K38" s="24" t="inlineStr">
        <is>
          <t>泉州市丰泽区人民法院</t>
        </is>
      </c>
      <c r="L38" s="51" t="n">
        <v>99.3</v>
      </c>
      <c r="M38" s="52">
        <f>IF(AND(ISNUMBER(N38),ISNUMBER(L38),L38&gt;0),ROUND(N38/L38,2),"")</f>
        <v/>
      </c>
      <c r="N38" s="53" t="n">
        <v>464000</v>
      </c>
      <c r="O38" s="53" t="n">
        <v>717000</v>
      </c>
      <c r="P38" s="54">
        <f>IF(AND(ISNUMBER(N38),ISNUMBER(O38),O38&gt;0),N38/O38,"")</f>
        <v/>
      </c>
      <c r="Q38" s="61" t="n">
        <v>464000</v>
      </c>
      <c r="R38" s="54">
        <f>IF(AND(ISNUMBER(Q38),ISNUMBER(N38),N38&gt;0),(Q38-N38)/N38,"")</f>
        <v/>
      </c>
      <c r="S38" s="52">
        <f>IF(AND(ISNUMBER(Q38),ISNUMBER(L38),L38&gt;0),ROUND(Q38/L38,2),"")</f>
        <v/>
      </c>
      <c r="T38" s="61" t="n">
        <v>1</v>
      </c>
      <c r="U38" s="61" t="n">
        <v>1</v>
      </c>
      <c r="V38" s="24" t="inlineStr">
        <is>
          <t>40</t>
        </is>
      </c>
      <c r="W38" s="24" t="inlineStr">
        <is>
          <t>https://paimai.jd.com/311063234</t>
        </is>
      </c>
    </row>
    <row r="39">
      <c r="A39" s="24" t="inlineStr">
        <is>
          <t>福建省</t>
        </is>
      </c>
      <c r="B39" s="24" t="inlineStr">
        <is>
          <t>泉州市</t>
        </is>
      </c>
      <c r="C39" s="24" t="inlineStr">
        <is>
          <t>南安市</t>
        </is>
      </c>
      <c r="D39" s="24" t="inlineStr">
        <is>
          <t>水头镇曾庄村、康店村的工业房地产</t>
        </is>
      </c>
      <c r="E39" s="24" t="inlineStr">
        <is>
          <t>工业区</t>
        </is>
      </c>
      <c r="F39" s="24" t="inlineStr">
        <is>
          <t>工业</t>
        </is>
      </c>
      <c r="G39" s="24" t="inlineStr">
        <is>
          <t>京东拍卖</t>
        </is>
      </c>
      <c r="H39" s="24" t="inlineStr">
        <is>
          <t>一拍</t>
        </is>
      </c>
      <c r="I39" s="50" t="n">
        <v>46259.41666666666</v>
      </c>
      <c r="J39" s="24" t="inlineStr">
        <is>
          <t>是</t>
        </is>
      </c>
      <c r="K39" s="24" t="inlineStr">
        <is>
          <t>泉州市丰泽区人民法院</t>
        </is>
      </c>
      <c r="L39" s="51" t="n">
        <v>16040.42</v>
      </c>
      <c r="M39" s="52">
        <f>IF(AND(ISNUMBER(N39),ISNUMBER(L39),L39&gt;0),ROUND(N39/L39,2),"")</f>
        <v/>
      </c>
      <c r="N39" s="53" t="n">
        <v>42040000</v>
      </c>
      <c r="O39" s="53" t="n">
        <v>52549200</v>
      </c>
      <c r="P39" s="54">
        <f>IF(AND(ISNUMBER(N39),ISNUMBER(O39),O39&gt;0),N39/O39,"")</f>
        <v/>
      </c>
      <c r="Q39" s="61" t="n">
        <v>46940000</v>
      </c>
      <c r="R39" s="54">
        <f>IF(AND(ISNUMBER(Q39),ISNUMBER(N39),N39&gt;0),(Q39-N39)/N39,"")</f>
        <v/>
      </c>
      <c r="S39" s="52">
        <f>IF(AND(ISNUMBER(Q39),ISNUMBER(L39),L39&gt;0),ROUND(Q39/L39,2),"")</f>
        <v/>
      </c>
      <c r="T39" s="61" t="n">
        <v>76</v>
      </c>
      <c r="U39" s="61" t="n">
        <v>5</v>
      </c>
      <c r="V39" s="24" t="inlineStr">
        <is>
          <t>40</t>
        </is>
      </c>
      <c r="W39" s="24" t="inlineStr">
        <is>
          <t>https://paimai.jd.com/311008939</t>
        </is>
      </c>
    </row>
    <row r="40">
      <c r="A40" s="24" t="inlineStr">
        <is>
          <t>福建省</t>
        </is>
      </c>
      <c r="B40" s="24" t="inlineStr">
        <is>
          <t>泉州市</t>
        </is>
      </c>
      <c r="C40" s="24" t="inlineStr">
        <is>
          <t>泉港区</t>
        </is>
      </c>
      <c r="D40" s="24" t="inlineStr">
        <is>
          <t>泉二路东盛商城3栋604-704号房产</t>
        </is>
      </c>
      <c r="E40" s="24" t="inlineStr">
        <is>
          <t>东盛商城</t>
        </is>
      </c>
      <c r="F40" s="24" t="inlineStr">
        <is>
          <t>工业</t>
        </is>
      </c>
      <c r="G40" s="24" t="inlineStr">
        <is>
          <t>京东拍卖</t>
        </is>
      </c>
      <c r="H40" s="24" t="inlineStr">
        <is>
          <t>二拍</t>
        </is>
      </c>
      <c r="I40" s="50" t="n">
        <v>43121.41666666666</v>
      </c>
      <c r="J40" s="24" t="inlineStr">
        <is>
          <t>是</t>
        </is>
      </c>
      <c r="K40" s="24" t="inlineStr">
        <is>
          <t>四川省成都市中级人民法院</t>
        </is>
      </c>
      <c r="L40" s="51" t="n">
        <v>207.85</v>
      </c>
      <c r="M40" s="52">
        <f>IF(AND(ISNUMBER(N40),ISNUMBER(L40),L40&gt;0),ROUND(N40/L40,2),"")</f>
        <v/>
      </c>
      <c r="N40" s="53" t="n">
        <v>280000</v>
      </c>
      <c r="O40" s="53" t="n">
        <v>474900</v>
      </c>
      <c r="P40" s="54">
        <f>IF(AND(ISNUMBER(N40),ISNUMBER(O40),O40&gt;0),N40/O40,"")</f>
        <v/>
      </c>
      <c r="Q40" s="61" t="n">
        <v>280000</v>
      </c>
      <c r="R40" s="54">
        <f>IF(AND(ISNUMBER(Q40),ISNUMBER(N40),N40&gt;0),(Q40-N40)/N40,"")</f>
        <v/>
      </c>
      <c r="S40" s="52">
        <f>IF(AND(ISNUMBER(Q40),ISNUMBER(L40),L40&gt;0),ROUND(Q40/L40,2),"")</f>
        <v/>
      </c>
      <c r="T40" s="61" t="n">
        <v>1</v>
      </c>
      <c r="U40" s="61" t="n">
        <v>1</v>
      </c>
      <c r="V40" s="24" t="inlineStr">
        <is>
          <t>40</t>
        </is>
      </c>
      <c r="W40" s="24" t="inlineStr">
        <is>
          <t>https://paimai.jd.com/104774268</t>
        </is>
      </c>
    </row>
    <row r="41">
      <c r="A41" s="24" t="inlineStr">
        <is>
          <t>福建省</t>
        </is>
      </c>
      <c r="B41" s="24" t="inlineStr">
        <is>
          <t>泉州市</t>
        </is>
      </c>
      <c r="C41" s="24" t="inlineStr">
        <is>
          <t>泉港区</t>
        </is>
      </c>
      <c r="D41" s="24" t="inlineStr">
        <is>
          <t>泉二路东盛商城4A栋602-702号房产</t>
        </is>
      </c>
      <c r="E41" s="24" t="inlineStr">
        <is>
          <t>东盛商城</t>
        </is>
      </c>
      <c r="F41" s="24" t="inlineStr">
        <is>
          <t>工业</t>
        </is>
      </c>
      <c r="G41" s="24" t="inlineStr">
        <is>
          <t>京东拍卖</t>
        </is>
      </c>
      <c r="H41" s="24" t="inlineStr">
        <is>
          <t>二拍</t>
        </is>
      </c>
      <c r="I41" s="50" t="n">
        <v>43121.41666666666</v>
      </c>
      <c r="J41" s="24" t="inlineStr">
        <is>
          <t>是</t>
        </is>
      </c>
      <c r="K41" s="24" t="inlineStr">
        <is>
          <t>四川省成都市中级人民法院</t>
        </is>
      </c>
      <c r="L41" s="51" t="n">
        <v>203.1</v>
      </c>
      <c r="M41" s="52">
        <f>IF(AND(ISNUMBER(N41),ISNUMBER(L41),L41&gt;0),ROUND(N41/L41,2),"")</f>
        <v/>
      </c>
      <c r="N41" s="53" t="n">
        <v>270000</v>
      </c>
      <c r="O41" s="53" t="n">
        <v>464100</v>
      </c>
      <c r="P41" s="54">
        <f>IF(AND(ISNUMBER(N41),ISNUMBER(O41),O41&gt;0),N41/O41,"")</f>
        <v/>
      </c>
      <c r="Q41" s="61" t="n">
        <v>270000</v>
      </c>
      <c r="R41" s="54">
        <f>IF(AND(ISNUMBER(Q41),ISNUMBER(N41),N41&gt;0),(Q41-N41)/N41,"")</f>
        <v/>
      </c>
      <c r="S41" s="52">
        <f>IF(AND(ISNUMBER(Q41),ISNUMBER(L41),L41&gt;0),ROUND(Q41/L41,2),"")</f>
        <v/>
      </c>
      <c r="T41" s="61" t="n">
        <v>1</v>
      </c>
      <c r="U41" s="61" t="n">
        <v>1</v>
      </c>
      <c r="V41" s="24" t="inlineStr">
        <is>
          <t>40</t>
        </is>
      </c>
      <c r="W41" s="24" t="inlineStr">
        <is>
          <t>https://paimai.jd.com/104774271</t>
        </is>
      </c>
    </row>
    <row r="42">
      <c r="A42" s="24" t="inlineStr">
        <is>
          <t>福建省</t>
        </is>
      </c>
      <c r="B42" s="24" t="inlineStr">
        <is>
          <t>泉州市</t>
        </is>
      </c>
      <c r="C42" s="24" t="inlineStr">
        <is>
          <t>泉港区</t>
        </is>
      </c>
      <c r="D42" s="24" t="inlineStr">
        <is>
          <t>泉二路东盛商城2栋604-704号房产</t>
        </is>
      </c>
      <c r="E42" s="24" t="inlineStr">
        <is>
          <t>东盛商城</t>
        </is>
      </c>
      <c r="F42" s="24" t="inlineStr">
        <is>
          <t>工业</t>
        </is>
      </c>
      <c r="G42" s="24" t="inlineStr">
        <is>
          <t>京东拍卖</t>
        </is>
      </c>
      <c r="H42" s="24" t="inlineStr">
        <is>
          <t>二拍</t>
        </is>
      </c>
      <c r="I42" s="50" t="n">
        <v>43121.41666666666</v>
      </c>
      <c r="J42" s="24" t="inlineStr">
        <is>
          <t>是</t>
        </is>
      </c>
      <c r="K42" s="24" t="inlineStr">
        <is>
          <t>四川省成都市中级人民法院</t>
        </is>
      </c>
      <c r="L42" s="51" t="n">
        <v>200.36</v>
      </c>
      <c r="M42" s="52">
        <f>IF(AND(ISNUMBER(N42),ISNUMBER(L42),L42&gt;0),ROUND(N42/L42,2),"")</f>
        <v/>
      </c>
      <c r="N42" s="53" t="n">
        <v>270000</v>
      </c>
      <c r="O42" s="53" t="n">
        <v>457800</v>
      </c>
      <c r="P42" s="54">
        <f>IF(AND(ISNUMBER(N42),ISNUMBER(O42),O42&gt;0),N42/O42,"")</f>
        <v/>
      </c>
      <c r="Q42" s="61" t="n">
        <v>270000</v>
      </c>
      <c r="R42" s="54">
        <f>IF(AND(ISNUMBER(Q42),ISNUMBER(N42),N42&gt;0),(Q42-N42)/N42,"")</f>
        <v/>
      </c>
      <c r="S42" s="52">
        <f>IF(AND(ISNUMBER(Q42),ISNUMBER(L42),L42&gt;0),ROUND(Q42/L42,2),"")</f>
        <v/>
      </c>
      <c r="T42" s="61" t="n">
        <v>1</v>
      </c>
      <c r="U42" s="61" t="n">
        <v>1</v>
      </c>
      <c r="V42" s="24" t="inlineStr">
        <is>
          <t>40</t>
        </is>
      </c>
      <c r="W42" s="24" t="inlineStr">
        <is>
          <t>https://paimai.jd.com/104774276</t>
        </is>
      </c>
    </row>
    <row r="43">
      <c r="A43" s="24" t="inlineStr">
        <is>
          <t>福建省</t>
        </is>
      </c>
      <c r="B43" s="24" t="inlineStr">
        <is>
          <t>泉州市</t>
        </is>
      </c>
      <c r="C43" s="24" t="inlineStr">
        <is>
          <t>泉港区</t>
        </is>
      </c>
      <c r="D43" s="24" t="inlineStr">
        <is>
          <t>泉二路东盛商城1栋612号房产</t>
        </is>
      </c>
      <c r="E43" s="24" t="inlineStr">
        <is>
          <t>东盛商城</t>
        </is>
      </c>
      <c r="F43" s="24" t="inlineStr">
        <is>
          <t>工业</t>
        </is>
      </c>
      <c r="G43" s="24" t="inlineStr">
        <is>
          <t>京东拍卖</t>
        </is>
      </c>
      <c r="H43" s="24" t="inlineStr">
        <is>
          <t>二拍</t>
        </is>
      </c>
      <c r="I43" s="50" t="n">
        <v>43121.41666666666</v>
      </c>
      <c r="J43" s="24" t="inlineStr">
        <is>
          <t>是</t>
        </is>
      </c>
      <c r="K43" s="24" t="inlineStr">
        <is>
          <t>四川省成都市中级人民法院</t>
        </is>
      </c>
      <c r="L43" s="51" t="n">
        <v>173.71</v>
      </c>
      <c r="M43" s="52">
        <f>IF(AND(ISNUMBER(N43),ISNUMBER(L43),L43&gt;0),ROUND(N43/L43,2),"")</f>
        <v/>
      </c>
      <c r="N43" s="53" t="n">
        <v>230000</v>
      </c>
      <c r="O43" s="53" t="n">
        <v>391900</v>
      </c>
      <c r="P43" s="54">
        <f>IF(AND(ISNUMBER(N43),ISNUMBER(O43),O43&gt;0),N43/O43,"")</f>
        <v/>
      </c>
      <c r="Q43" s="61" t="n">
        <v>231000</v>
      </c>
      <c r="R43" s="54">
        <f>IF(AND(ISNUMBER(Q43),ISNUMBER(N43),N43&gt;0),(Q43-N43)/N43,"")</f>
        <v/>
      </c>
      <c r="S43" s="52">
        <f>IF(AND(ISNUMBER(Q43),ISNUMBER(L43),L43&gt;0),ROUND(Q43/L43,2),"")</f>
        <v/>
      </c>
      <c r="T43" s="61" t="n">
        <v>2</v>
      </c>
      <c r="U43" s="61" t="n">
        <v>2</v>
      </c>
      <c r="V43" s="24" t="inlineStr">
        <is>
          <t>40</t>
        </is>
      </c>
      <c r="W43" s="24" t="inlineStr">
        <is>
          <t>https://paimai.jd.com/104774280</t>
        </is>
      </c>
    </row>
    <row r="44">
      <c r="A44" s="24" t="inlineStr">
        <is>
          <t>福建省</t>
        </is>
      </c>
      <c r="B44" s="24" t="inlineStr">
        <is>
          <t>泉州市</t>
        </is>
      </c>
      <c r="C44" s="24" t="inlineStr">
        <is>
          <t>泉港区</t>
        </is>
      </c>
      <c r="D44" s="24" t="inlineStr">
        <is>
          <t>泉二路东盛商城1栋608号房产</t>
        </is>
      </c>
      <c r="E44" s="24" t="inlineStr">
        <is>
          <t>东盛商城</t>
        </is>
      </c>
      <c r="F44" s="24" t="inlineStr">
        <is>
          <t>工业</t>
        </is>
      </c>
      <c r="G44" s="24" t="inlineStr">
        <is>
          <t>京东拍卖</t>
        </is>
      </c>
      <c r="H44" s="24" t="inlineStr">
        <is>
          <t>二拍</t>
        </is>
      </c>
      <c r="I44" s="50" t="n">
        <v>43121.41666666666</v>
      </c>
      <c r="J44" s="24" t="inlineStr">
        <is>
          <t>是</t>
        </is>
      </c>
      <c r="K44" s="24" t="inlineStr">
        <is>
          <t>四川省成都市中级人民法院</t>
        </is>
      </c>
      <c r="L44" s="51" t="n">
        <v>174.16</v>
      </c>
      <c r="M44" s="52">
        <f>IF(AND(ISNUMBER(N44),ISNUMBER(L44),L44&gt;0),ROUND(N44/L44,2),"")</f>
        <v/>
      </c>
      <c r="N44" s="53" t="n">
        <v>230000</v>
      </c>
      <c r="O44" s="53" t="n">
        <v>392900</v>
      </c>
      <c r="P44" s="54">
        <f>IF(AND(ISNUMBER(N44),ISNUMBER(O44),O44&gt;0),N44/O44,"")</f>
        <v/>
      </c>
      <c r="Q44" s="61" t="n">
        <v>231000</v>
      </c>
      <c r="R44" s="54">
        <f>IF(AND(ISNUMBER(Q44),ISNUMBER(N44),N44&gt;0),(Q44-N44)/N44,"")</f>
        <v/>
      </c>
      <c r="S44" s="52">
        <f>IF(AND(ISNUMBER(Q44),ISNUMBER(L44),L44&gt;0),ROUND(Q44/L44,2),"")</f>
        <v/>
      </c>
      <c r="T44" s="61" t="n">
        <v>2</v>
      </c>
      <c r="U44" s="61" t="n">
        <v>2</v>
      </c>
      <c r="V44" s="24" t="inlineStr">
        <is>
          <t>40</t>
        </is>
      </c>
      <c r="W44" s="24" t="inlineStr">
        <is>
          <t>https://paimai.jd.com/104774283</t>
        </is>
      </c>
    </row>
    <row r="45">
      <c r="A45" s="24" t="inlineStr">
        <is>
          <t>福建省</t>
        </is>
      </c>
      <c r="B45" s="24" t="inlineStr">
        <is>
          <t>泉州市</t>
        </is>
      </c>
      <c r="C45" s="24" t="inlineStr">
        <is>
          <t>泉港区</t>
        </is>
      </c>
      <c r="D45" s="24" t="inlineStr">
        <is>
          <t>泉二路东盛商城5栋603-703号房产</t>
        </is>
      </c>
      <c r="E45" s="24" t="inlineStr">
        <is>
          <t>东盛商城</t>
        </is>
      </c>
      <c r="F45" s="24" t="inlineStr">
        <is>
          <t>工业</t>
        </is>
      </c>
      <c r="G45" s="24" t="inlineStr">
        <is>
          <t>京东拍卖</t>
        </is>
      </c>
      <c r="H45" s="24" t="inlineStr">
        <is>
          <t>二拍</t>
        </is>
      </c>
      <c r="I45" s="50" t="n">
        <v>43121.41666666666</v>
      </c>
      <c r="J45" s="24" t="inlineStr">
        <is>
          <t>是</t>
        </is>
      </c>
      <c r="K45" s="24" t="inlineStr">
        <is>
          <t>四川省成都市中级人民法院</t>
        </is>
      </c>
      <c r="L45" s="51" t="n">
        <v>200.81</v>
      </c>
      <c r="M45" s="52">
        <f>IF(AND(ISNUMBER(N45),ISNUMBER(L45),L45&gt;0),ROUND(N45/L45,2),"")</f>
        <v/>
      </c>
      <c r="N45" s="53" t="n">
        <v>270000</v>
      </c>
      <c r="O45" s="53" t="n">
        <v>458900</v>
      </c>
      <c r="P45" s="54">
        <f>IF(AND(ISNUMBER(N45),ISNUMBER(O45),O45&gt;0),N45/O45,"")</f>
        <v/>
      </c>
      <c r="Q45" s="61" t="n">
        <v>270000</v>
      </c>
      <c r="R45" s="54">
        <f>IF(AND(ISNUMBER(Q45),ISNUMBER(N45),N45&gt;0),(Q45-N45)/N45,"")</f>
        <v/>
      </c>
      <c r="S45" s="52">
        <f>IF(AND(ISNUMBER(Q45),ISNUMBER(L45),L45&gt;0),ROUND(Q45/L45,2),"")</f>
        <v/>
      </c>
      <c r="T45" s="61" t="n">
        <v>1</v>
      </c>
      <c r="U45" s="61" t="n">
        <v>1</v>
      </c>
      <c r="V45" s="24" t="inlineStr">
        <is>
          <t>40</t>
        </is>
      </c>
      <c r="W45" s="24" t="inlineStr">
        <is>
          <t>https://paimai.jd.com/104774284</t>
        </is>
      </c>
    </row>
    <row r="46">
      <c r="A46" s="24" t="inlineStr">
        <is>
          <t>福建省</t>
        </is>
      </c>
      <c r="B46" s="24" t="inlineStr">
        <is>
          <t>泉州市</t>
        </is>
      </c>
      <c r="C46" s="24" t="inlineStr">
        <is>
          <t>泉港区</t>
        </is>
      </c>
      <c r="D46" s="24" t="inlineStr">
        <is>
          <t>泉二路东盛商城4B栋604-704号房产</t>
        </is>
      </c>
      <c r="E46" s="24" t="inlineStr">
        <is>
          <t>东盛商城</t>
        </is>
      </c>
      <c r="F46" s="24" t="inlineStr">
        <is>
          <t>工业</t>
        </is>
      </c>
      <c r="G46" s="24" t="inlineStr">
        <is>
          <t>京东拍卖</t>
        </is>
      </c>
      <c r="H46" s="24" t="inlineStr">
        <is>
          <t>二拍</t>
        </is>
      </c>
      <c r="I46" s="50" t="n">
        <v>43121.41666666666</v>
      </c>
      <c r="J46" s="24" t="inlineStr">
        <is>
          <t>是</t>
        </is>
      </c>
      <c r="K46" s="24" t="inlineStr">
        <is>
          <t>四川省成都市中级人民法院</t>
        </is>
      </c>
      <c r="L46" s="51" t="n">
        <v>201.96</v>
      </c>
      <c r="M46" s="52">
        <f>IF(AND(ISNUMBER(N46),ISNUMBER(L46),L46&gt;0),ROUND(N46/L46,2),"")</f>
        <v/>
      </c>
      <c r="N46" s="53" t="n">
        <v>270000</v>
      </c>
      <c r="O46" s="53" t="n">
        <v>461500</v>
      </c>
      <c r="P46" s="54">
        <f>IF(AND(ISNUMBER(N46),ISNUMBER(O46),O46&gt;0),N46/O46,"")</f>
        <v/>
      </c>
      <c r="Q46" s="61" t="n">
        <v>270000</v>
      </c>
      <c r="R46" s="54">
        <f>IF(AND(ISNUMBER(Q46),ISNUMBER(N46),N46&gt;0),(Q46-N46)/N46,"")</f>
        <v/>
      </c>
      <c r="S46" s="52">
        <f>IF(AND(ISNUMBER(Q46),ISNUMBER(L46),L46&gt;0),ROUND(Q46/L46,2),"")</f>
        <v/>
      </c>
      <c r="T46" s="61" t="n">
        <v>1</v>
      </c>
      <c r="U46" s="61" t="n">
        <v>1</v>
      </c>
      <c r="V46" s="24" t="inlineStr">
        <is>
          <t>40</t>
        </is>
      </c>
      <c r="W46" s="24" t="inlineStr">
        <is>
          <t>https://paimai.jd.com/104774285</t>
        </is>
      </c>
    </row>
    <row r="47">
      <c r="A47" s="24" t="inlineStr">
        <is>
          <t>福建省</t>
        </is>
      </c>
      <c r="B47" s="24" t="inlineStr">
        <is>
          <t>泉州市</t>
        </is>
      </c>
      <c r="C47" s="24" t="inlineStr">
        <is>
          <t>泉港区</t>
        </is>
      </c>
      <c r="D47" s="24" t="inlineStr">
        <is>
          <t>泉二路东盛商城1栋610号房产</t>
        </is>
      </c>
      <c r="E47" s="24" t="inlineStr">
        <is>
          <t>东盛商城</t>
        </is>
      </c>
      <c r="F47" s="24" t="inlineStr">
        <is>
          <t>工业</t>
        </is>
      </c>
      <c r="G47" s="24" t="inlineStr">
        <is>
          <t>京东拍卖</t>
        </is>
      </c>
      <c r="H47" s="24" t="inlineStr">
        <is>
          <t>二拍</t>
        </is>
      </c>
      <c r="I47" s="50" t="n">
        <v>43121.41666666666</v>
      </c>
      <c r="J47" s="24" t="inlineStr">
        <is>
          <t>是</t>
        </is>
      </c>
      <c r="K47" s="24" t="inlineStr">
        <is>
          <t>四川省成都市中级人民法院</t>
        </is>
      </c>
      <c r="L47" s="51" t="n">
        <v>174.16</v>
      </c>
      <c r="M47" s="52">
        <f>IF(AND(ISNUMBER(N47),ISNUMBER(L47),L47&gt;0),ROUND(N47/L47,2),"")</f>
        <v/>
      </c>
      <c r="N47" s="53" t="n">
        <v>230000</v>
      </c>
      <c r="O47" s="53" t="n">
        <v>392900</v>
      </c>
      <c r="P47" s="54">
        <f>IF(AND(ISNUMBER(N47),ISNUMBER(O47),O47&gt;0),N47/O47,"")</f>
        <v/>
      </c>
      <c r="Q47" s="61" t="n">
        <v>231000</v>
      </c>
      <c r="R47" s="54">
        <f>IF(AND(ISNUMBER(Q47),ISNUMBER(N47),N47&gt;0),(Q47-N47)/N47,"")</f>
        <v/>
      </c>
      <c r="S47" s="52">
        <f>IF(AND(ISNUMBER(Q47),ISNUMBER(L47),L47&gt;0),ROUND(Q47/L47,2),"")</f>
        <v/>
      </c>
      <c r="T47" s="61" t="n">
        <v>2</v>
      </c>
      <c r="U47" s="61" t="n">
        <v>2</v>
      </c>
      <c r="V47" s="24" t="inlineStr">
        <is>
          <t>40</t>
        </is>
      </c>
      <c r="W47" s="24" t="inlineStr">
        <is>
          <t>https://paimai.jd.com/104774286</t>
        </is>
      </c>
    </row>
    <row r="48">
      <c r="A48" s="24" t="inlineStr">
        <is>
          <t>福建省</t>
        </is>
      </c>
      <c r="B48" s="24" t="inlineStr">
        <is>
          <t>泉州市</t>
        </is>
      </c>
      <c r="C48" s="24" t="inlineStr">
        <is>
          <t>泉港区</t>
        </is>
      </c>
      <c r="D48" s="24" t="inlineStr">
        <is>
          <t>泉二路东盛商城2栋601-701号房产</t>
        </is>
      </c>
      <c r="E48" s="24" t="inlineStr">
        <is>
          <t>东盛商城</t>
        </is>
      </c>
      <c r="F48" s="24" t="inlineStr">
        <is>
          <t>工业</t>
        </is>
      </c>
      <c r="G48" s="24" t="inlineStr">
        <is>
          <t>京东拍卖</t>
        </is>
      </c>
      <c r="H48" s="24" t="inlineStr">
        <is>
          <t>二拍</t>
        </is>
      </c>
      <c r="I48" s="50" t="n">
        <v>43121.41666666666</v>
      </c>
      <c r="J48" s="24" t="inlineStr">
        <is>
          <t>是</t>
        </is>
      </c>
      <c r="K48" s="24" t="inlineStr">
        <is>
          <t>四川省成都市中级人民法院</t>
        </is>
      </c>
      <c r="L48" s="51" t="n">
        <v>205.67</v>
      </c>
      <c r="M48" s="52">
        <f>IF(AND(ISNUMBER(N48),ISNUMBER(L48),L48&gt;0),ROUND(N48/L48,2),"")</f>
        <v/>
      </c>
      <c r="N48" s="53" t="n">
        <v>270000</v>
      </c>
      <c r="O48" s="53" t="n">
        <v>470000</v>
      </c>
      <c r="P48" s="54">
        <f>IF(AND(ISNUMBER(N48),ISNUMBER(O48),O48&gt;0),N48/O48,"")</f>
        <v/>
      </c>
      <c r="Q48" s="61" t="n">
        <v>270000</v>
      </c>
      <c r="R48" s="54">
        <f>IF(AND(ISNUMBER(Q48),ISNUMBER(N48),N48&gt;0),(Q48-N48)/N48,"")</f>
        <v/>
      </c>
      <c r="S48" s="52">
        <f>IF(AND(ISNUMBER(Q48),ISNUMBER(L48),L48&gt;0),ROUND(Q48/L48,2),"")</f>
        <v/>
      </c>
      <c r="T48" s="61" t="n">
        <v>1</v>
      </c>
      <c r="U48" s="61" t="n">
        <v>2</v>
      </c>
      <c r="V48" s="24" t="inlineStr">
        <is>
          <t>40</t>
        </is>
      </c>
      <c r="W48" s="24" t="inlineStr">
        <is>
          <t>https://paimai.jd.com/104774287</t>
        </is>
      </c>
    </row>
    <row r="49">
      <c r="A49" s="24" t="inlineStr">
        <is>
          <t>福建省</t>
        </is>
      </c>
      <c r="B49" s="24" t="inlineStr">
        <is>
          <t>泉州市</t>
        </is>
      </c>
      <c r="C49" s="24" t="inlineStr">
        <is>
          <t>泉港区</t>
        </is>
      </c>
      <c r="D49" s="24" t="inlineStr">
        <is>
          <t>泉二路东盛商城1栋611号房产</t>
        </is>
      </c>
      <c r="E49" s="24" t="inlineStr">
        <is>
          <t>东盛商城</t>
        </is>
      </c>
      <c r="F49" s="24" t="inlineStr">
        <is>
          <t>工业</t>
        </is>
      </c>
      <c r="G49" s="24" t="inlineStr">
        <is>
          <t>京东拍卖</t>
        </is>
      </c>
      <c r="H49" s="24" t="inlineStr">
        <is>
          <t>二拍</t>
        </is>
      </c>
      <c r="I49" s="50" t="n">
        <v>43121.41666666666</v>
      </c>
      <c r="J49" s="24" t="inlineStr">
        <is>
          <t>是</t>
        </is>
      </c>
      <c r="K49" s="24" t="inlineStr">
        <is>
          <t>四川省成都市中级人民法院</t>
        </is>
      </c>
      <c r="L49" s="51" t="n">
        <v>174.16</v>
      </c>
      <c r="M49" s="52">
        <f>IF(AND(ISNUMBER(N49),ISNUMBER(L49),L49&gt;0),ROUND(N49/L49,2),"")</f>
        <v/>
      </c>
      <c r="N49" s="53" t="n">
        <v>230000</v>
      </c>
      <c r="O49" s="53" t="n">
        <v>392900</v>
      </c>
      <c r="P49" s="54">
        <f>IF(AND(ISNUMBER(N49),ISNUMBER(O49),O49&gt;0),N49/O49,"")</f>
        <v/>
      </c>
      <c r="Q49" s="61" t="n">
        <v>230000</v>
      </c>
      <c r="R49" s="54">
        <f>IF(AND(ISNUMBER(Q49),ISNUMBER(N49),N49&gt;0),(Q49-N49)/N49,"")</f>
        <v/>
      </c>
      <c r="S49" s="52">
        <f>IF(AND(ISNUMBER(Q49),ISNUMBER(L49),L49&gt;0),ROUND(Q49/L49,2),"")</f>
        <v/>
      </c>
      <c r="T49" s="61" t="n">
        <v>1</v>
      </c>
      <c r="U49" s="61" t="n">
        <v>1</v>
      </c>
      <c r="V49" s="24" t="inlineStr">
        <is>
          <t>40</t>
        </is>
      </c>
      <c r="W49" s="24" t="inlineStr">
        <is>
          <t>https://paimai.jd.com/104774288</t>
        </is>
      </c>
    </row>
    <row r="50">
      <c r="A50" s="24" t="inlineStr">
        <is>
          <t>福建省</t>
        </is>
      </c>
      <c r="B50" s="24" t="inlineStr">
        <is>
          <t>泉州市</t>
        </is>
      </c>
      <c r="C50" s="24" t="inlineStr">
        <is>
          <t>泉港区</t>
        </is>
      </c>
      <c r="D50" s="24" t="inlineStr">
        <is>
          <t>泉二路东盛商城4B栋603-703号房产</t>
        </is>
      </c>
      <c r="E50" s="24" t="inlineStr">
        <is>
          <t>东盛商城</t>
        </is>
      </c>
      <c r="F50" s="24" t="inlineStr">
        <is>
          <t>工业</t>
        </is>
      </c>
      <c r="G50" s="24" t="inlineStr">
        <is>
          <t>京东拍卖</t>
        </is>
      </c>
      <c r="H50" s="24" t="inlineStr">
        <is>
          <t>二拍</t>
        </is>
      </c>
      <c r="I50" s="50" t="n">
        <v>43121.41666666666</v>
      </c>
      <c r="J50" s="24" t="inlineStr">
        <is>
          <t>是</t>
        </is>
      </c>
      <c r="K50" s="24" t="inlineStr">
        <is>
          <t>四川省成都市中级人民法院</t>
        </is>
      </c>
      <c r="L50" s="51" t="n">
        <v>201.79</v>
      </c>
      <c r="M50" s="52">
        <f>IF(AND(ISNUMBER(N50),ISNUMBER(L50),L50&gt;0),ROUND(N50/L50,2),"")</f>
        <v/>
      </c>
      <c r="N50" s="53" t="n">
        <v>270000</v>
      </c>
      <c r="O50" s="53" t="n">
        <v>461100</v>
      </c>
      <c r="P50" s="54">
        <f>IF(AND(ISNUMBER(N50),ISNUMBER(O50),O50&gt;0),N50/O50,"")</f>
        <v/>
      </c>
      <c r="Q50" s="61" t="n">
        <v>270000</v>
      </c>
      <c r="R50" s="54">
        <f>IF(AND(ISNUMBER(Q50),ISNUMBER(N50),N50&gt;0),(Q50-N50)/N50,"")</f>
        <v/>
      </c>
      <c r="S50" s="52">
        <f>IF(AND(ISNUMBER(Q50),ISNUMBER(L50),L50&gt;0),ROUND(Q50/L50,2),"")</f>
        <v/>
      </c>
      <c r="T50" s="61" t="n">
        <v>1</v>
      </c>
      <c r="U50" s="61" t="n">
        <v>1</v>
      </c>
      <c r="V50" s="24" t="inlineStr">
        <is>
          <t>40</t>
        </is>
      </c>
      <c r="W50" s="24" t="inlineStr">
        <is>
          <t>https://paimai.jd.com/104774289</t>
        </is>
      </c>
    </row>
    <row r="51">
      <c r="A51" s="24" t="inlineStr">
        <is>
          <t>福建省</t>
        </is>
      </c>
      <c r="B51" s="24" t="inlineStr">
        <is>
          <t>泉州市</t>
        </is>
      </c>
      <c r="C51" s="24" t="inlineStr">
        <is>
          <t>泉港区</t>
        </is>
      </c>
      <c r="D51" s="24" t="inlineStr">
        <is>
          <t>泉二路东盛商城18栋605-705号房产</t>
        </is>
      </c>
      <c r="E51" s="24" t="inlineStr">
        <is>
          <t>东盛商城</t>
        </is>
      </c>
      <c r="F51" s="24" t="inlineStr">
        <is>
          <t>工业</t>
        </is>
      </c>
      <c r="G51" s="24" t="inlineStr">
        <is>
          <t>京东拍卖</t>
        </is>
      </c>
      <c r="H51" s="24" t="inlineStr">
        <is>
          <t>二拍</t>
        </is>
      </c>
      <c r="I51" s="50" t="n">
        <v>43121.41666666666</v>
      </c>
      <c r="J51" s="24" t="inlineStr">
        <is>
          <t>是</t>
        </is>
      </c>
      <c r="K51" s="24" t="inlineStr">
        <is>
          <t>四川省成都市中级人民法院</t>
        </is>
      </c>
      <c r="L51" s="51" t="n">
        <v>200.32</v>
      </c>
      <c r="M51" s="52">
        <f>IF(AND(ISNUMBER(N51),ISNUMBER(L51),L51&gt;0),ROUND(N51/L51,2),"")</f>
        <v/>
      </c>
      <c r="N51" s="53" t="n">
        <v>260000</v>
      </c>
      <c r="O51" s="53" t="n">
        <v>451900</v>
      </c>
      <c r="P51" s="54">
        <f>IF(AND(ISNUMBER(N51),ISNUMBER(O51),O51&gt;0),N51/O51,"")</f>
        <v/>
      </c>
      <c r="Q51" s="61" t="n">
        <v>263000</v>
      </c>
      <c r="R51" s="54">
        <f>IF(AND(ISNUMBER(Q51),ISNUMBER(N51),N51&gt;0),(Q51-N51)/N51,"")</f>
        <v/>
      </c>
      <c r="S51" s="52">
        <f>IF(AND(ISNUMBER(Q51),ISNUMBER(L51),L51&gt;0),ROUND(Q51/L51,2),"")</f>
        <v/>
      </c>
      <c r="T51" s="61" t="n">
        <v>4</v>
      </c>
      <c r="U51" s="61" t="n">
        <v>2</v>
      </c>
      <c r="V51" s="24" t="inlineStr">
        <is>
          <t>40</t>
        </is>
      </c>
      <c r="W51" s="24" t="inlineStr">
        <is>
          <t>https://paimai.jd.com/104774295</t>
        </is>
      </c>
    </row>
    <row r="52">
      <c r="A52" s="24" t="inlineStr">
        <is>
          <t>福建省</t>
        </is>
      </c>
      <c r="B52" s="24" t="inlineStr">
        <is>
          <t>泉州市</t>
        </is>
      </c>
      <c r="C52" s="24" t="inlineStr">
        <is>
          <t>泉港区</t>
        </is>
      </c>
      <c r="D52" s="24" t="inlineStr">
        <is>
          <t>泉二路东盛商城19栋603号房产</t>
        </is>
      </c>
      <c r="E52" s="24" t="inlineStr">
        <is>
          <t>东盛商城</t>
        </is>
      </c>
      <c r="F52" s="24" t="inlineStr">
        <is>
          <t>工业</t>
        </is>
      </c>
      <c r="G52" s="24" t="inlineStr">
        <is>
          <t>京东拍卖</t>
        </is>
      </c>
      <c r="H52" s="24" t="inlineStr">
        <is>
          <t>一拍</t>
        </is>
      </c>
      <c r="I52" s="50" t="n">
        <v>43103.41666666666</v>
      </c>
      <c r="J52" s="24" t="inlineStr">
        <is>
          <t>是</t>
        </is>
      </c>
      <c r="K52" s="24" t="inlineStr">
        <is>
          <t>四川省成都市中级人民法院</t>
        </is>
      </c>
      <c r="L52" s="51" t="n">
        <v>200.74</v>
      </c>
      <c r="M52" s="52">
        <f>IF(AND(ISNUMBER(N52),ISNUMBER(L52),L52&gt;0),ROUND(N52/L52,2),"")</f>
        <v/>
      </c>
      <c r="N52" s="53" t="n">
        <v>320000</v>
      </c>
      <c r="O52" s="53" t="n">
        <v>452900</v>
      </c>
      <c r="P52" s="54">
        <f>IF(AND(ISNUMBER(N52),ISNUMBER(O52),O52&gt;0),N52/O52,"")</f>
        <v/>
      </c>
      <c r="Q52" s="61" t="n">
        <v>320000</v>
      </c>
      <c r="R52" s="54">
        <f>IF(AND(ISNUMBER(Q52),ISNUMBER(N52),N52&gt;0),(Q52-N52)/N52,"")</f>
        <v/>
      </c>
      <c r="S52" s="52">
        <f>IF(AND(ISNUMBER(Q52),ISNUMBER(L52),L52&gt;0),ROUND(Q52/L52,2),"")</f>
        <v/>
      </c>
      <c r="T52" s="61" t="n">
        <v>1</v>
      </c>
      <c r="U52" s="61" t="n">
        <v>1</v>
      </c>
      <c r="V52" s="24" t="inlineStr">
        <is>
          <t>40</t>
        </is>
      </c>
      <c r="W52" s="24" t="inlineStr">
        <is>
          <t>https://paimai.jd.com/104482992</t>
        </is>
      </c>
    </row>
    <row r="53">
      <c r="A53" s="25" t="inlineStr">
        <is>
          <t>福建省</t>
        </is>
      </c>
      <c r="B53" s="25" t="inlineStr">
        <is>
          <t>泉州市</t>
        </is>
      </c>
      <c r="C53" s="25" t="inlineStr">
        <is>
          <t>泉港区</t>
        </is>
      </c>
      <c r="D53" s="25" t="inlineStr">
        <is>
          <t>泉二路东盛商城2栋603-703号房产</t>
        </is>
      </c>
      <c r="E53" s="25" t="inlineStr">
        <is>
          <t>东盛商城</t>
        </is>
      </c>
      <c r="F53" s="25" t="inlineStr">
        <is>
          <t>其他/待确认</t>
        </is>
      </c>
      <c r="G53" s="25" t="inlineStr">
        <is>
          <t>京东拍卖</t>
        </is>
      </c>
      <c r="H53" s="25" t="inlineStr">
        <is>
          <t>二拍</t>
        </is>
      </c>
      <c r="I53" s="55" t="inlineStr">
        <is>
          <t>2018-01-21 10:00:00</t>
        </is>
      </c>
      <c r="J53" s="25" t="inlineStr">
        <is>
          <t>是</t>
        </is>
      </c>
      <c r="K53" s="25" t="inlineStr">
        <is>
          <t>四川省成都市中级人民法院</t>
        </is>
      </c>
      <c r="L53" s="56" t="n">
        <v>200.36</v>
      </c>
      <c r="M53" s="57">
        <f>IF(AND(ISNUMBER(N53),ISNUMBER(L53),L53&gt;0),ROUND(N53/L53,2),"")</f>
        <v/>
      </c>
      <c r="N53" s="58" t="n">
        <v>270000</v>
      </c>
      <c r="O53" s="58" t="n">
        <v>457800</v>
      </c>
      <c r="P53" s="59">
        <f>IF(AND(ISNUMBER(N53),ISNUMBER(O53),O53&gt;0),N53/O53,"")</f>
        <v/>
      </c>
      <c r="Q53" s="62" t="n">
        <v>270000</v>
      </c>
      <c r="R53" s="59">
        <f>IF(AND(ISNUMBER(Q53),ISNUMBER(N53),N53&gt;0),(Q53-N53)/N53,"")</f>
        <v/>
      </c>
      <c r="S53" s="57">
        <f>IF(AND(ISNUMBER(Q53),ISNUMBER(L53),L53&gt;0),ROUND(Q53/L53,2),"")</f>
        <v/>
      </c>
      <c r="T53" s="62" t="n">
        <v>1</v>
      </c>
      <c r="U53" s="62" t="n">
        <v>1</v>
      </c>
      <c r="V53" s="25" t="inlineStr">
        <is>
          <t>未找到评估报告</t>
        </is>
      </c>
      <c r="W53" s="25" t="inlineStr">
        <is>
          <t>https://paimai.jd.com/104774266</t>
        </is>
      </c>
    </row>
    <row r="54">
      <c r="A54" t="inlineStr">
        <is>
          <t>福建省</t>
        </is>
      </c>
      <c r="B54" t="inlineStr">
        <is>
          <t>泉州市</t>
        </is>
      </c>
      <c r="C54" t="inlineStr">
        <is>
          <t>南安市</t>
        </is>
      </c>
      <c r="D54" t="inlineStr">
        <is>
          <t>福建金康塑胶有限公司名下址在福建省南安市省新镇西埔村1幢、3幢等工业房地产及附属设施</t>
        </is>
      </c>
      <c r="E54" t="inlineStr">
        <is>
          <t>金康塑胶</t>
        </is>
      </c>
      <c r="F54" t="inlineStr">
        <is>
          <t>工业</t>
        </is>
      </c>
      <c r="G54" t="inlineStr">
        <is>
          <t>阿里资产</t>
        </is>
      </c>
      <c r="H54" t="inlineStr">
        <is>
          <t>一拍</t>
        </is>
      </c>
      <c r="I54" t="inlineStr">
        <is>
          <t>2026/08/27 10:55:58</t>
        </is>
      </c>
      <c r="J54" t="inlineStr">
        <is>
          <t>是</t>
        </is>
      </c>
      <c r="K54" t="inlineStr">
        <is>
          <t>福建省泉州市中级人民法院</t>
        </is>
      </c>
      <c r="L54" t="n">
        <v>26081.61</v>
      </c>
      <c r="M54" t="n">
        <v>1257</v>
      </c>
      <c r="N54" t="n">
        <v>32770000</v>
      </c>
      <c r="O54" t="n">
        <v>46812900</v>
      </c>
      <c r="P54" t="n">
        <v>0.7</v>
      </c>
      <c r="Q54" t="n">
        <v>39650000</v>
      </c>
      <c r="R54" t="inlineStr">
        <is>
          <t>21.0%</t>
        </is>
      </c>
      <c r="S54" t="n">
        <v>1520</v>
      </c>
      <c r="T54" t="n">
        <v>43</v>
      </c>
      <c r="U54" t="n">
        <v>2</v>
      </c>
      <c r="V54" t="inlineStr">
        <is>
          <t>浏览器补采：阿里详情页</t>
        </is>
      </c>
      <c r="W54" t="inlineStr">
        <is>
          <t>https://sf-item.taobao.com/sf_item/1070340968074.htm</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84"/>
  <sheetViews>
    <sheetView showGridLines="0" workbookViewId="0">
      <selection activeCell="A1" sqref="A1"/>
    </sheetView>
  </sheetViews>
  <sheetFormatPr baseColWidth="8" defaultColWidth="9" defaultRowHeight="13.5"/>
  <cols>
    <col width="10" customWidth="1" style="22" min="1" max="2"/>
    <col width="11" customWidth="1" style="22" min="3" max="3"/>
    <col width="42" customWidth="1" style="22" min="4" max="4"/>
    <col width="24" customWidth="1" style="22" min="5" max="5"/>
    <col width="10" customWidth="1" style="22" min="6" max="6"/>
    <col width="11" customWidth="1" style="22" min="7" max="7"/>
    <col width="10" customWidth="1" style="22" min="8" max="8"/>
    <col width="11" customWidth="1" style="22" min="9" max="9"/>
    <col width="14" customWidth="1" style="22" min="10" max="10"/>
    <col width="23" customWidth="1" style="22" min="11" max="11"/>
    <col width="12" customWidth="1" style="22" min="12" max="12"/>
    <col width="16" customWidth="1" style="22" min="13" max="13"/>
    <col width="14" customWidth="1" style="22" min="14" max="14"/>
    <col width="15" customWidth="1" style="22" min="15" max="15"/>
    <col width="12" customWidth="1" style="22" min="16" max="18"/>
    <col width="32" customWidth="1" style="22" min="19" max="19"/>
    <col width="48" customWidth="1" style="22" min="20" max="20"/>
  </cols>
  <sheetData>
    <row r="1" ht="28" customHeight="1" s="22">
      <c r="A1" s="1" t="inlineStr">
        <is>
          <t>所在省份</t>
        </is>
      </c>
      <c r="B1" s="1" t="inlineStr">
        <is>
          <t>城市</t>
        </is>
      </c>
      <c r="C1" s="1" t="inlineStr">
        <is>
          <t>区域</t>
        </is>
      </c>
      <c r="D1" s="1" t="inlineStr">
        <is>
          <t>标的名称</t>
        </is>
      </c>
      <c r="E1" s="1" t="inlineStr">
        <is>
          <t>小区名称（仅供参考）</t>
        </is>
      </c>
      <c r="F1" s="1" t="inlineStr">
        <is>
          <t>标的类型</t>
        </is>
      </c>
      <c r="G1" s="1" t="inlineStr">
        <is>
          <t>平台</t>
        </is>
      </c>
      <c r="H1" s="1" t="inlineStr">
        <is>
          <t>发拍次数</t>
        </is>
      </c>
      <c r="I1" s="1" t="inlineStr">
        <is>
          <t>拍卖时间</t>
        </is>
      </c>
      <c r="J1" s="1" t="inlineStr">
        <is>
          <t>是否成交</t>
        </is>
      </c>
      <c r="K1" s="1" t="inlineStr">
        <is>
          <t>处置法院</t>
        </is>
      </c>
      <c r="L1" s="1" t="inlineStr">
        <is>
          <t>面积/㎡</t>
        </is>
      </c>
      <c r="M1" s="1" t="inlineStr">
        <is>
          <t>起拍单价-元/㎡</t>
        </is>
      </c>
      <c r="N1" s="1" t="inlineStr">
        <is>
          <t>起拍价格</t>
        </is>
      </c>
      <c r="O1" s="1" t="inlineStr">
        <is>
          <t>评估价</t>
        </is>
      </c>
      <c r="P1" s="1" t="inlineStr">
        <is>
          <t>折扣率(%)</t>
        </is>
      </c>
      <c r="Q1" s="1" t="inlineStr">
        <is>
          <t>竞买记录</t>
        </is>
      </c>
      <c r="R1" s="1" t="inlineStr">
        <is>
          <t>报名人数</t>
        </is>
      </c>
      <c r="S1" s="1" t="inlineStr">
        <is>
          <t>备注</t>
        </is>
      </c>
      <c r="T1" s="1" t="inlineStr">
        <is>
          <t>网站链接</t>
        </is>
      </c>
    </row>
    <row r="2">
      <c r="A2" s="13" t="inlineStr">
        <is>
          <t>福建省</t>
        </is>
      </c>
      <c r="B2" s="13" t="inlineStr">
        <is>
          <t>福州市</t>
        </is>
      </c>
      <c r="C2" s="13" t="inlineStr">
        <is>
          <t>仓山区</t>
        </is>
      </c>
      <c r="D2" s="13" t="inlineStr">
        <is>
          <t>三叉街福峡路40号建发花园1#楼803单元</t>
        </is>
      </c>
      <c r="E2" s="13" t="inlineStr">
        <is>
          <t>建发花园</t>
        </is>
      </c>
      <c r="F2" s="13" t="inlineStr">
        <is>
          <t>住宅</t>
        </is>
      </c>
      <c r="G2" s="13" t="inlineStr">
        <is>
          <t>阿里资产</t>
        </is>
      </c>
      <c r="H2" s="13" t="inlineStr">
        <is>
          <t>一拍</t>
        </is>
      </c>
      <c r="I2" s="48" t="n">
        <v>46260.08333333334</v>
      </c>
      <c r="J2" s="13" t="inlineStr">
        <is>
          <t>否</t>
        </is>
      </c>
      <c r="K2" s="13" t="inlineStr">
        <is>
          <t>福州市晋安区人民法院</t>
        </is>
      </c>
      <c r="L2" s="30" t="n">
        <v>87.65000000000001</v>
      </c>
      <c r="M2" s="33">
        <f>IF(AND(ISNUMBER(N2),ISNUMBER(L2),L2&gt;0),ROUND(N2/L2,2),"")</f>
        <v/>
      </c>
      <c r="N2" s="49" t="n">
        <v>674905</v>
      </c>
      <c r="O2" s="49" t="n">
        <v>964150</v>
      </c>
      <c r="P2" s="38">
        <f>IF(AND(ISNUMBER(N2),ISNUMBER(O2),O2&gt;0),N2/O2,"")</f>
        <v/>
      </c>
      <c r="Q2" s="44" t="n">
        <v>0</v>
      </c>
      <c r="R2" s="44" t="n">
        <v>0</v>
      </c>
      <c r="S2" s="13" t="inlineStr">
        <is>
          <t>本次补采未获取到面积证据，需人工复核；浏览器补采</t>
        </is>
      </c>
      <c r="T2" s="20" t="inlineStr">
        <is>
          <t>https://sf-item.taobao.com/sf_item/1068864937113.htm</t>
        </is>
      </c>
    </row>
    <row r="3">
      <c r="A3" s="13" t="inlineStr">
        <is>
          <t>福建省</t>
        </is>
      </c>
      <c r="B3" s="13" t="inlineStr">
        <is>
          <t>福州市</t>
        </is>
      </c>
      <c r="C3" s="13" t="inlineStr">
        <is>
          <t>鼓楼区</t>
        </is>
      </c>
      <c r="D3" s="13" t="inlineStr">
        <is>
          <t>洪山镇福三村58号明望新村3#楼802单元</t>
        </is>
      </c>
      <c r="E3" s="13" t="inlineStr">
        <is>
          <t>明望新村</t>
        </is>
      </c>
      <c r="F3" s="13" t="inlineStr">
        <is>
          <t>住宅</t>
        </is>
      </c>
      <c r="G3" s="13" t="inlineStr">
        <is>
          <t>阿里资产</t>
        </is>
      </c>
      <c r="H3" s="13" t="inlineStr">
        <is>
          <t>一拍</t>
        </is>
      </c>
      <c r="I3" s="48" t="n">
        <v>46260.08333333334</v>
      </c>
      <c r="J3" s="13" t="inlineStr">
        <is>
          <t>否</t>
        </is>
      </c>
      <c r="K3" s="13" t="inlineStr">
        <is>
          <t>福州市鼓楼区人民法院</t>
        </is>
      </c>
      <c r="L3" s="30" t="n">
        <v>81.63</v>
      </c>
      <c r="M3" s="33">
        <f>IF(AND(ISNUMBER(N3),ISNUMBER(L3),L3&gt;0),ROUND(N3/L3,2),"")</f>
        <v/>
      </c>
      <c r="N3" s="49" t="n">
        <v>640000</v>
      </c>
      <c r="O3" s="49" t="n">
        <v>913673.59</v>
      </c>
      <c r="P3" s="38">
        <f>IF(AND(ISNUMBER(N3),ISNUMBER(O3),O3&gt;0),N3/O3,"")</f>
        <v/>
      </c>
      <c r="Q3" s="44" t="n">
        <v>0</v>
      </c>
      <c r="R3" s="44" t="n">
        <v>0</v>
      </c>
      <c r="S3" s="20" t="inlineStr">
        <is>
          <t>本次补采未获取到面积证据，需人工复核；浏览器补采</t>
        </is>
      </c>
      <c r="T3" s="20" t="inlineStr">
        <is>
          <t>https://sf-item.taobao.com/sf_item/1069163632431.htm</t>
        </is>
      </c>
    </row>
    <row r="4">
      <c r="A4" s="13" t="inlineStr">
        <is>
          <t>福建省</t>
        </is>
      </c>
      <c r="B4" s="13" t="inlineStr">
        <is>
          <t>福州市</t>
        </is>
      </c>
      <c r="C4" s="13" t="inlineStr">
        <is>
          <t>晋安区</t>
        </is>
      </c>
      <c r="D4" s="13" t="inlineStr">
        <is>
          <t>新店镇杨廷路610号福州奥林匹克花园四区（一期）C2-2#楼1001单元</t>
        </is>
      </c>
      <c r="E4" s="13" t="inlineStr">
        <is>
          <t>奥林匹克花园</t>
        </is>
      </c>
      <c r="F4" s="13" t="inlineStr">
        <is>
          <t>住宅</t>
        </is>
      </c>
      <c r="G4" s="13" t="inlineStr">
        <is>
          <t>阿里资产</t>
        </is>
      </c>
      <c r="H4" s="13" t="inlineStr">
        <is>
          <t>变卖</t>
        </is>
      </c>
      <c r="I4" s="48" t="n">
        <v>46261.08333333334</v>
      </c>
      <c r="J4" s="13" t="inlineStr">
        <is>
          <t>否</t>
        </is>
      </c>
      <c r="K4" s="13" t="inlineStr">
        <is>
          <t>古田县人民法院</t>
        </is>
      </c>
      <c r="L4" s="30" t="n">
        <v>149.03</v>
      </c>
      <c r="M4" s="33">
        <f>IF(AND(ISNUMBER(N4),ISNUMBER(L4),L4&gt;0),ROUND(N4/L4,2),"")</f>
        <v/>
      </c>
      <c r="N4" s="49" t="n">
        <v>1593000</v>
      </c>
      <c r="O4" s="49" t="n">
        <v>2844377.04</v>
      </c>
      <c r="P4" s="38">
        <f>IF(AND(ISNUMBER(N4),ISNUMBER(O4),O4&gt;0),N4/O4,"")</f>
        <v/>
      </c>
      <c r="Q4" s="44" t="n">
        <v>0</v>
      </c>
      <c r="R4" s="44" t="n">
        <v>0</v>
      </c>
      <c r="S4" s="20" t="inlineStr">
        <is>
          <t>面积证据：标的物介绍 建筑面积 149.03平方米；浏览器补采</t>
        </is>
      </c>
      <c r="T4" s="20" t="inlineStr">
        <is>
          <t>https://sf-item.taobao.com/sf_item/1059123928005.htm</t>
        </is>
      </c>
    </row>
    <row r="5">
      <c r="A5" s="13" t="inlineStr">
        <is>
          <t>福建省</t>
        </is>
      </c>
      <c r="B5" s="13" t="inlineStr">
        <is>
          <t>福州市</t>
        </is>
      </c>
      <c r="C5" s="13" t="inlineStr">
        <is>
          <t>连江县</t>
        </is>
      </c>
      <c r="D5" s="13" t="inlineStr">
        <is>
          <t>凤城镇丹凤东路36号盛世豪门1幢1605单元</t>
        </is>
      </c>
      <c r="E5" s="13" t="inlineStr">
        <is>
          <t>商住小区</t>
        </is>
      </c>
      <c r="F5" s="13" t="inlineStr">
        <is>
          <t>住宅</t>
        </is>
      </c>
      <c r="G5" s="13" t="inlineStr">
        <is>
          <t>阿里资产</t>
        </is>
      </c>
      <c r="H5" s="13" t="inlineStr">
        <is>
          <t>一拍</t>
        </is>
      </c>
      <c r="I5" s="48" t="n">
        <v>46260.08333333334</v>
      </c>
      <c r="J5" s="13" t="inlineStr">
        <is>
          <t>否</t>
        </is>
      </c>
      <c r="K5" s="13" t="inlineStr">
        <is>
          <t>连江县人民法院</t>
        </is>
      </c>
      <c r="L5" s="30" t="n">
        <v>96.13</v>
      </c>
      <c r="M5" s="33">
        <f>IF(AND(ISNUMBER(N5),ISNUMBER(L5),L5&gt;0),ROUND(N5/L5,2),"")</f>
        <v/>
      </c>
      <c r="N5" s="49" t="n">
        <v>819282</v>
      </c>
      <c r="O5" s="49" t="n">
        <v>910312.6</v>
      </c>
      <c r="P5" s="38">
        <f>IF(AND(ISNUMBER(N5),ISNUMBER(O5),O5&gt;0),N5/O5,"")</f>
        <v/>
      </c>
      <c r="Q5" s="44" t="n">
        <v>0</v>
      </c>
      <c r="R5" s="44" t="n">
        <v>0</v>
      </c>
      <c r="S5" s="20" t="inlineStr">
        <is>
          <t>本次补采未获取到面积证据，需人工复核；浏览器补采</t>
        </is>
      </c>
      <c r="T5" s="20" t="inlineStr">
        <is>
          <t>https://sf-item.taobao.com/sf_item/1067298087136.htm</t>
        </is>
      </c>
    </row>
    <row r="6">
      <c r="A6" s="13" t="inlineStr">
        <is>
          <t>福建省</t>
        </is>
      </c>
      <c r="B6" s="13" t="inlineStr">
        <is>
          <t>福州市</t>
        </is>
      </c>
      <c r="C6" s="13" t="inlineStr">
        <is>
          <t>罗源县</t>
        </is>
      </c>
      <c r="D6" s="13" t="inlineStr">
        <is>
          <t>凤山镇司前新村9#楼501室及杂物间</t>
        </is>
      </c>
      <c r="E6" s="13" t="inlineStr">
        <is>
          <t>商住小区</t>
        </is>
      </c>
      <c r="F6" s="13" t="inlineStr">
        <is>
          <t>住宅</t>
        </is>
      </c>
      <c r="G6" s="13" t="inlineStr">
        <is>
          <t>阿里资产</t>
        </is>
      </c>
      <c r="H6" s="13" t="inlineStr">
        <is>
          <t>二拍</t>
        </is>
      </c>
      <c r="I6" s="48" t="n">
        <v>46261.08333333334</v>
      </c>
      <c r="J6" s="13" t="inlineStr">
        <is>
          <t>否</t>
        </is>
      </c>
      <c r="K6" s="13" t="inlineStr">
        <is>
          <t>罗源县人民法院</t>
        </is>
      </c>
      <c r="L6" s="30" t="n">
        <v>128.52</v>
      </c>
      <c r="M6" s="33">
        <f>IF(AND(ISNUMBER(N6),ISNUMBER(L6),L6&gt;0),ROUND(N6/L6,2),"")</f>
        <v/>
      </c>
      <c r="N6" s="49" t="n">
        <v>171319.55</v>
      </c>
      <c r="O6" s="49" t="n">
        <v>267686.8</v>
      </c>
      <c r="P6" s="38">
        <f>IF(AND(ISNUMBER(N6),ISNUMBER(O6),O6&gt;0),N6/O6,"")</f>
        <v/>
      </c>
      <c r="Q6" s="44" t="n">
        <v>0</v>
      </c>
      <c r="R6" s="44" t="n">
        <v>0</v>
      </c>
      <c r="S6" s="20" t="inlineStr">
        <is>
          <t>面积证据：福建省罗源县凤山镇司前新村9#楼501室.杂物间的房产【证号：凤房权证FS字第2002012291号,凤房GF共字第200201312号,罗国用（2002）字第10934号】，房屋建筑面积128.52平方米，财产范围不包含其他不属于房地产的设施设备等动产以及债权权益。凤山镇司前新村9#楼501室.杂物间，淘宝(中国)软件有限公司出具的询价结果为253977.59元，江苏京东信息技术有限公司出具的询价结果为281396.00元。现本院以询价结果平均值267686.80元作为拍卖参考价。第二次拍卖起拍价171319.55元，保证金10000元，增价幅度1000元，过户手续所产生的税、费，由原权利人和买受人各自承担；可能存在的物业费、水、电等欠费均由买受人自行承担。；浏览器补采</t>
        </is>
      </c>
      <c r="T6" s="20" t="inlineStr">
        <is>
          <t>https://sf-item.taobao.com/sf_item/1072146031791.htm</t>
        </is>
      </c>
    </row>
    <row r="7">
      <c r="A7" s="13" t="inlineStr">
        <is>
          <t>福建省</t>
        </is>
      </c>
      <c r="B7" s="13" t="inlineStr">
        <is>
          <t>福州市</t>
        </is>
      </c>
      <c r="C7" s="13" t="inlineStr">
        <is>
          <t>罗源县</t>
        </is>
      </c>
      <c r="D7" s="13" t="inlineStr">
        <is>
          <t>松山镇松岐路1号罗源湾滨海新城罗昌苑10# 楼101单元</t>
        </is>
      </c>
      <c r="E7" s="13" t="inlineStr">
        <is>
          <t>罗源湾</t>
        </is>
      </c>
      <c r="F7" s="13" t="inlineStr">
        <is>
          <t>住宅</t>
        </is>
      </c>
      <c r="G7" s="13" t="inlineStr">
        <is>
          <t>阿里资产</t>
        </is>
      </c>
      <c r="H7" s="13" t="inlineStr">
        <is>
          <t>二拍</t>
        </is>
      </c>
      <c r="I7" s="48" t="n">
        <v>46260.08333333334</v>
      </c>
      <c r="J7" s="13" t="inlineStr">
        <is>
          <t>否</t>
        </is>
      </c>
      <c r="K7" s="13" t="inlineStr">
        <is>
          <t>罗源县人民法院</t>
        </is>
      </c>
      <c r="L7" s="30" t="n">
        <v>120.24</v>
      </c>
      <c r="M7" s="33">
        <f>IF(AND(ISNUMBER(N7),ISNUMBER(L7),L7&gt;0),ROUND(N7/L7,2),"")</f>
        <v/>
      </c>
      <c r="N7" s="49" t="n">
        <v>299855.93</v>
      </c>
      <c r="O7" s="49" t="n">
        <v>468524.89</v>
      </c>
      <c r="P7" s="38">
        <f>IF(AND(ISNUMBER(N7),ISNUMBER(O7),O7&gt;0),N7/O7,"")</f>
        <v/>
      </c>
      <c r="Q7" s="44" t="n">
        <v>0</v>
      </c>
      <c r="R7" s="44" t="n">
        <v>0</v>
      </c>
      <c r="S7" s="20" t="inlineStr">
        <is>
          <t>本次补采未获取到面积证据，需人工复核；浏览器补采</t>
        </is>
      </c>
      <c r="T7" s="20" t="inlineStr">
        <is>
          <t>https://sf-item.taobao.com/sf_item/1072880598134.htm</t>
        </is>
      </c>
    </row>
    <row r="8">
      <c r="A8" s="13" t="inlineStr">
        <is>
          <t>福建省</t>
        </is>
      </c>
      <c r="B8" s="13" t="inlineStr">
        <is>
          <t>福州市</t>
        </is>
      </c>
      <c r="C8" s="13" t="inlineStr">
        <is>
          <t>闽侯县</t>
        </is>
      </c>
      <c r="D8" s="13" t="inlineStr">
        <is>
          <t>潘渡镇贵泉社区沿江南路6号华闽御山水庄园A5幢1007单元房产</t>
        </is>
      </c>
      <c r="E8" s="13" t="inlineStr">
        <is>
          <t>华闽御山水庄园</t>
        </is>
      </c>
      <c r="F8" s="13" t="inlineStr">
        <is>
          <t>车位</t>
        </is>
      </c>
      <c r="G8" s="13" t="inlineStr">
        <is>
          <t>阿里资产</t>
        </is>
      </c>
      <c r="H8" s="13" t="inlineStr">
        <is>
          <t>二拍</t>
        </is>
      </c>
      <c r="I8" s="48" t="n">
        <v>46261.08333333334</v>
      </c>
      <c r="J8" s="13" t="inlineStr">
        <is>
          <t>否</t>
        </is>
      </c>
      <c r="K8" s="13" t="inlineStr">
        <is>
          <t>福建省福州市中级人民法院</t>
        </is>
      </c>
      <c r="L8" s="30" t="n">
        <v>52.24</v>
      </c>
      <c r="M8" s="33">
        <f>IF(AND(ISNUMBER(N8),ISNUMBER(L8),L8&gt;0),ROUND(N8/L8,2),"")</f>
        <v/>
      </c>
      <c r="N8" s="49" t="n">
        <v>120512</v>
      </c>
      <c r="O8" s="49" t="n">
        <v>215200</v>
      </c>
      <c r="P8" s="38">
        <f>IF(AND(ISNUMBER(N8),ISNUMBER(O8),O8&gt;0),N8/O8,"")</f>
        <v/>
      </c>
      <c r="Q8" s="44" t="n">
        <v>0</v>
      </c>
      <c r="R8" s="44" t="n">
        <v>0</v>
      </c>
      <c r="S8" s="20" t="inlineStr">
        <is>
          <t>本次补采未获取到面积证据，需人工复核；浏览器补采</t>
        </is>
      </c>
      <c r="T8" s="20" t="inlineStr">
        <is>
          <t>https://sf-item.taobao.com/sf_item/1072174555254.htm</t>
        </is>
      </c>
    </row>
    <row r="9">
      <c r="A9" s="13" t="inlineStr">
        <is>
          <t>福建省</t>
        </is>
      </c>
      <c r="B9" s="13" t="inlineStr">
        <is>
          <t>福州市</t>
        </is>
      </c>
      <c r="C9" s="13" t="inlineStr">
        <is>
          <t>闽侯县</t>
        </is>
      </c>
      <c r="D9" s="13" t="inlineStr">
        <is>
          <t>荆溪镇桐口村桐口206号绿洲家园D区L8#楼5F单元</t>
        </is>
      </c>
      <c r="E9" s="13" t="inlineStr">
        <is>
          <t>绿洲家园</t>
        </is>
      </c>
      <c r="F9" s="13" t="inlineStr">
        <is>
          <t>住宅</t>
        </is>
      </c>
      <c r="G9" s="13" t="inlineStr">
        <is>
          <t>阿里资产</t>
        </is>
      </c>
      <c r="H9" s="13" t="inlineStr">
        <is>
          <t>一拍</t>
        </is>
      </c>
      <c r="I9" s="48" t="n">
        <v>46260.08333333334</v>
      </c>
      <c r="J9" s="13" t="inlineStr">
        <is>
          <t>否</t>
        </is>
      </c>
      <c r="K9" s="13" t="inlineStr">
        <is>
          <t>福州市鼓楼区人民法院</t>
        </is>
      </c>
      <c r="L9" s="30" t="n">
        <v>164.87</v>
      </c>
      <c r="M9" s="33">
        <f>IF(AND(ISNUMBER(N9),ISNUMBER(L9),L9&gt;0),ROUND(N9/L9,2),"")</f>
        <v/>
      </c>
      <c r="N9" s="49" t="n">
        <v>1660000</v>
      </c>
      <c r="O9" s="49" t="n">
        <v>2367286.12</v>
      </c>
      <c r="P9" s="38">
        <f>IF(AND(ISNUMBER(N9),ISNUMBER(O9),O9&gt;0),N9/O9,"")</f>
        <v/>
      </c>
      <c r="Q9" s="44" t="n">
        <v>0</v>
      </c>
      <c r="R9" s="44" t="n">
        <v>0</v>
      </c>
      <c r="S9" s="20" t="inlineStr">
        <is>
          <t>本次补采未获取到面积证据，需人工复核；浏览器补采</t>
        </is>
      </c>
      <c r="T9" s="20" t="inlineStr">
        <is>
          <t>https://sf-item.taobao.com/sf_item/1067426214816.htm</t>
        </is>
      </c>
    </row>
    <row r="10">
      <c r="A10" s="13" t="inlineStr">
        <is>
          <t>福建省</t>
        </is>
      </c>
      <c r="B10" s="13" t="inlineStr">
        <is>
          <t>福州市</t>
        </is>
      </c>
      <c r="C10" s="13" t="inlineStr">
        <is>
          <t>闽侯县</t>
        </is>
      </c>
      <c r="D10" s="13" t="inlineStr">
        <is>
          <t>甘蔗街道墩园洲路17号甘蔗2019-29号地块项目（现：榕心锦江公馆）地下室地下1层651车位</t>
        </is>
      </c>
      <c r="E10" s="13" t="inlineStr">
        <is>
          <t>墩园</t>
        </is>
      </c>
      <c r="F10" s="13" t="inlineStr">
        <is>
          <t>车位</t>
        </is>
      </c>
      <c r="G10" s="13" t="inlineStr">
        <is>
          <t>阿里资产</t>
        </is>
      </c>
      <c r="H10" s="13" t="inlineStr">
        <is>
          <t>一拍</t>
        </is>
      </c>
      <c r="I10" s="48" t="n">
        <v>46260.08333333334</v>
      </c>
      <c r="J10" s="13" t="inlineStr">
        <is>
          <t>否</t>
        </is>
      </c>
      <c r="K10" s="13" t="inlineStr">
        <is>
          <t>闽侯县人民法院</t>
        </is>
      </c>
      <c r="L10" s="30" t="n">
        <v>26.39</v>
      </c>
      <c r="M10" s="33">
        <f>IF(AND(ISNUMBER(N10),ISNUMBER(L10),L10&gt;0),ROUND(N10/L10,2),"")</f>
        <v/>
      </c>
      <c r="N10" s="49" t="n">
        <v>52000</v>
      </c>
      <c r="O10" s="49" t="n">
        <v>73100</v>
      </c>
      <c r="P10" s="38">
        <f>IF(AND(ISNUMBER(N10),ISNUMBER(O10),O10&gt;0),N10/O10,"")</f>
        <v/>
      </c>
      <c r="Q10" s="44" t="n">
        <v>0</v>
      </c>
      <c r="R10" s="44" t="n">
        <v>3</v>
      </c>
      <c r="S10" s="20" t="inlineStr">
        <is>
          <t>本次补采未获取到面积证据，需人工复核；浏览器补采</t>
        </is>
      </c>
      <c r="T10" s="20" t="inlineStr">
        <is>
          <t>https://sf-item.taobao.com/sf_item/1067479783386.htm</t>
        </is>
      </c>
    </row>
    <row r="11">
      <c r="A11" s="13" t="inlineStr">
        <is>
          <t>福建省</t>
        </is>
      </c>
      <c r="B11" s="13" t="inlineStr">
        <is>
          <t>福州市</t>
        </is>
      </c>
      <c r="C11" s="13" t="inlineStr">
        <is>
          <t>闽侯县</t>
        </is>
      </c>
      <c r="D11" s="13" t="inlineStr">
        <is>
          <t>甘蔗街道滨江西大道1号启航滨江国际（现：启航滨江花园）1#楼1008单元房产</t>
        </is>
      </c>
      <c r="E11" s="13" t="inlineStr">
        <is>
          <t>启航滨江花园</t>
        </is>
      </c>
      <c r="F11" s="13" t="inlineStr">
        <is>
          <t>住宅</t>
        </is>
      </c>
      <c r="G11" s="13" t="inlineStr">
        <is>
          <t>阿里资产</t>
        </is>
      </c>
      <c r="H11" s="13" t="inlineStr">
        <is>
          <t>一拍</t>
        </is>
      </c>
      <c r="I11" s="48" t="n">
        <v>46260.08333333334</v>
      </c>
      <c r="J11" s="13" t="inlineStr">
        <is>
          <t>否</t>
        </is>
      </c>
      <c r="K11" s="13" t="inlineStr">
        <is>
          <t>闽侯县人民法院</t>
        </is>
      </c>
      <c r="L11" s="30" t="n">
        <v>112.02</v>
      </c>
      <c r="M11" s="33">
        <f>IF(AND(ISNUMBER(N11),ISNUMBER(L11),L11&gt;0),ROUND(N11/L11,2),"")</f>
        <v/>
      </c>
      <c r="N11" s="49" t="n">
        <v>570000</v>
      </c>
      <c r="O11" s="49" t="n">
        <v>810000</v>
      </c>
      <c r="P11" s="38">
        <f>IF(AND(ISNUMBER(N11),ISNUMBER(O11),O11&gt;0),N11/O11,"")</f>
        <v/>
      </c>
      <c r="Q11" s="44" t="n">
        <v>0</v>
      </c>
      <c r="R11" s="44" t="n">
        <v>0</v>
      </c>
      <c r="S11" s="20" t="inlineStr">
        <is>
          <t>本次补采未获取到面积证据，需人工复核；浏览器补采</t>
        </is>
      </c>
      <c r="T11" s="20" t="inlineStr">
        <is>
          <t>https://sf-item.taobao.com/sf_item/1067495279942.htm</t>
        </is>
      </c>
    </row>
    <row r="12">
      <c r="A12" s="13" t="inlineStr">
        <is>
          <t>福建省</t>
        </is>
      </c>
      <c r="B12" s="13" t="inlineStr">
        <is>
          <t>福州市</t>
        </is>
      </c>
      <c r="C12" s="13" t="inlineStr">
        <is>
          <t>闽侯县</t>
        </is>
      </c>
      <c r="D12" s="13" t="inlineStr">
        <is>
          <t>上街镇上街村603单元</t>
        </is>
      </c>
      <c r="E12" s="13" t="inlineStr">
        <is>
          <t>商住小区</t>
        </is>
      </c>
      <c r="F12" s="13" t="inlineStr">
        <is>
          <t>住宅</t>
        </is>
      </c>
      <c r="G12" s="13" t="inlineStr">
        <is>
          <t>阿里资产</t>
        </is>
      </c>
      <c r="H12" s="13" t="inlineStr">
        <is>
          <t>一拍</t>
        </is>
      </c>
      <c r="I12" s="48" t="n">
        <v>46260.08333333334</v>
      </c>
      <c r="J12" s="13" t="inlineStr">
        <is>
          <t>否</t>
        </is>
      </c>
      <c r="K12" s="13" t="inlineStr">
        <is>
          <t>福州市鼓楼区人民法院</t>
        </is>
      </c>
      <c r="L12" s="30" t="n">
        <v>168.06</v>
      </c>
      <c r="M12" s="33">
        <f>IF(AND(ISNUMBER(N12),ISNUMBER(L12),L12&gt;0),ROUND(N12/L12,2),"")</f>
        <v/>
      </c>
      <c r="N12" s="49" t="n">
        <v>410000</v>
      </c>
      <c r="O12" s="49" t="n">
        <v>572916.87</v>
      </c>
      <c r="P12" s="38">
        <f>IF(AND(ISNUMBER(N12),ISNUMBER(O12),O12&gt;0),N12/O12,"")</f>
        <v/>
      </c>
      <c r="Q12" s="44" t="n">
        <v>0</v>
      </c>
      <c r="R12" s="44" t="n">
        <v>0</v>
      </c>
      <c r="S12" s="20" t="inlineStr">
        <is>
          <t>本次补采未获取到面积证据，需人工复核；浏览器补采</t>
        </is>
      </c>
      <c r="T12" s="20" t="inlineStr">
        <is>
          <t>https://sf-item.taobao.com/sf_item/1068202813751.htm</t>
        </is>
      </c>
    </row>
    <row r="13">
      <c r="A13" s="13" t="inlineStr">
        <is>
          <t>福建省</t>
        </is>
      </c>
      <c r="B13" s="13" t="inlineStr">
        <is>
          <t>福州市</t>
        </is>
      </c>
      <c r="C13" s="13" t="inlineStr">
        <is>
          <t>平潭县</t>
        </is>
      </c>
      <c r="D13" s="13" t="inlineStr">
        <is>
          <t>辕门后围61-62号（实际门牌号为潭城镇后围庄104号）</t>
        </is>
      </c>
      <c r="E13" s="13" t="inlineStr">
        <is>
          <t>商住小区</t>
        </is>
      </c>
      <c r="F13" s="13" t="inlineStr">
        <is>
          <t>住宅</t>
        </is>
      </c>
      <c r="G13" s="13" t="inlineStr">
        <is>
          <t>阿里资产</t>
        </is>
      </c>
      <c r="H13" s="13" t="inlineStr">
        <is>
          <t>变卖</t>
        </is>
      </c>
      <c r="I13" s="48" t="n">
        <v>46260.08333333334</v>
      </c>
      <c r="J13" s="13" t="inlineStr">
        <is>
          <t>否</t>
        </is>
      </c>
      <c r="K13" s="13" t="inlineStr">
        <is>
          <t>平潭县人民法院</t>
        </is>
      </c>
      <c r="L13" s="30" t="n">
        <v>299.9</v>
      </c>
      <c r="M13" s="33">
        <f>IF(AND(ISNUMBER(N13),ISNUMBER(L13),L13&gt;0),ROUND(N13/L13,2),"")</f>
        <v/>
      </c>
      <c r="N13" s="49" t="n">
        <v>842880</v>
      </c>
      <c r="O13" s="49" t="n">
        <v>1317000</v>
      </c>
      <c r="P13" s="38">
        <f>IF(AND(ISNUMBER(N13),ISNUMBER(O13),O13&gt;0),N13/O13,"")</f>
        <v/>
      </c>
      <c r="Q13" s="44" t="n">
        <v>0</v>
      </c>
      <c r="R13" s="44" t="n">
        <v>0</v>
      </c>
      <c r="S13" s="20" t="inlineStr">
        <is>
          <t>本次补采未获取到面积证据，需人工复核；浏览器补采</t>
        </is>
      </c>
      <c r="T13" s="20" t="inlineStr">
        <is>
          <t>https://sf-item.taobao.com/sf_item/1058903364398.htm</t>
        </is>
      </c>
    </row>
    <row r="14">
      <c r="A14" s="13" t="inlineStr">
        <is>
          <t>福建省</t>
        </is>
      </c>
      <c r="B14" s="13" t="inlineStr">
        <is>
          <t>福州市</t>
        </is>
      </c>
      <c r="C14" s="13" t="inlineStr">
        <is>
          <t>平潭综合实验区</t>
        </is>
      </c>
      <c r="D14" s="13" t="inlineStr">
        <is>
          <t>潭城镇九一六北路东侧华厦庄园B、C区（阳光城）C5幢501室</t>
        </is>
      </c>
      <c r="E14" s="13" t="inlineStr">
        <is>
          <t>阳光城</t>
        </is>
      </c>
      <c r="F14" s="13" t="inlineStr">
        <is>
          <t>住宅</t>
        </is>
      </c>
      <c r="G14" s="13" t="inlineStr">
        <is>
          <t>阿里资产</t>
        </is>
      </c>
      <c r="H14" s="13" t="inlineStr">
        <is>
          <t>变卖</t>
        </is>
      </c>
      <c r="I14" s="48" t="n">
        <v>46260.08333333334</v>
      </c>
      <c r="J14" s="13" t="inlineStr">
        <is>
          <t>否</t>
        </is>
      </c>
      <c r="K14" s="13" t="inlineStr">
        <is>
          <t>平潭县人民法院</t>
        </is>
      </c>
      <c r="L14" s="30" t="n">
        <v>141.33</v>
      </c>
      <c r="M14" s="33">
        <f>IF(AND(ISNUMBER(N14),ISNUMBER(L14),L14&gt;0),ROUND(N14/L14,2),"")</f>
        <v/>
      </c>
      <c r="N14" s="49" t="n">
        <v>659276</v>
      </c>
      <c r="O14" s="49" t="n">
        <v>824095.15</v>
      </c>
      <c r="P14" s="38">
        <f>IF(AND(ISNUMBER(N14),ISNUMBER(O14),O14&gt;0),N14/O14,"")</f>
        <v/>
      </c>
      <c r="Q14" s="44" t="n">
        <v>0</v>
      </c>
      <c r="R14" s="44" t="n">
        <v>0</v>
      </c>
      <c r="S14" s="20" t="inlineStr">
        <is>
          <t>面积证据：1.拍卖对象：潭城镇九一六北路东侧华厦庄园B、C区（阳光城）C5幢501室房产，房屋建筑面积：141.33平方米。具体情况以现场看样为准。；浏览器补采</t>
        </is>
      </c>
      <c r="T14" s="20" t="inlineStr">
        <is>
          <t>https://sf-item.taobao.com/sf_item/1056127431128.htm</t>
        </is>
      </c>
    </row>
    <row r="15">
      <c r="A15" s="13" t="inlineStr">
        <is>
          <t>福建省</t>
        </is>
      </c>
      <c r="B15" s="13" t="inlineStr">
        <is>
          <t>福州市</t>
        </is>
      </c>
      <c r="C15" s="13" t="inlineStr">
        <is>
          <t>台江区</t>
        </is>
      </c>
      <c r="D15" s="13" t="inlineStr">
        <is>
          <t>五一中路169号利嘉城A区综合地下1层AD1-160商场</t>
        </is>
      </c>
      <c r="E15" s="13" t="inlineStr">
        <is>
          <t>利嘉城</t>
        </is>
      </c>
      <c r="F15" s="13" t="inlineStr">
        <is>
          <t>商业</t>
        </is>
      </c>
      <c r="G15" s="13" t="inlineStr">
        <is>
          <t>阿里资产</t>
        </is>
      </c>
      <c r="H15" s="13" t="inlineStr">
        <is>
          <t>一拍</t>
        </is>
      </c>
      <c r="I15" s="48" t="n">
        <v>46261.08333333334</v>
      </c>
      <c r="J15" s="13" t="inlineStr">
        <is>
          <t>否</t>
        </is>
      </c>
      <c r="K15" s="13" t="inlineStr">
        <is>
          <t>福州市长乐区人民法院</t>
        </is>
      </c>
      <c r="L15" s="30" t="n">
        <v>36.14</v>
      </c>
      <c r="M15" s="33">
        <f>IF(AND(ISNUMBER(N15),ISNUMBER(L15),L15&gt;0),ROUND(N15/L15,2),"")</f>
        <v/>
      </c>
      <c r="N15" s="49" t="n">
        <v>198000</v>
      </c>
      <c r="O15" s="49" t="n">
        <v>282092</v>
      </c>
      <c r="P15" s="38">
        <f>IF(AND(ISNUMBER(N15),ISNUMBER(O15),O15&gt;0),N15/O15,"")</f>
        <v/>
      </c>
      <c r="Q15" s="44" t="n">
        <v>0</v>
      </c>
      <c r="R15" s="44" t="n">
        <v>2</v>
      </c>
      <c r="S15" s="20" t="inlineStr">
        <is>
          <t>面积证据：1、拍卖对象：福州市台江区五一中路169号利嘉城A区综合地下1层AD1-160商场（R1137623）（不含屋内物品），该财产为被执行人石*伟所有。建筑面积：36.14平方米（产权面积仅供参考，请以最终过户为准）。实际用途为商业。；浏览器补采</t>
        </is>
      </c>
      <c r="T15" s="20" t="inlineStr">
        <is>
          <t>https://sf-item.taobao.com/sf_item/1067590571888.htm</t>
        </is>
      </c>
    </row>
    <row r="16">
      <c r="A16" s="13" t="inlineStr">
        <is>
          <t>福建省</t>
        </is>
      </c>
      <c r="B16" s="13" t="inlineStr">
        <is>
          <t>福州市</t>
        </is>
      </c>
      <c r="C16" s="13" t="inlineStr">
        <is>
          <t>台江区</t>
        </is>
      </c>
      <c r="D16" s="13" t="inlineStr">
        <is>
          <t>瀛洲街道江滨中大道116号君临闽江公寓（原君临闽江）4#楼303单元</t>
        </is>
      </c>
      <c r="E16" s="13" t="inlineStr">
        <is>
          <t>君临闽江公寓</t>
        </is>
      </c>
      <c r="F16" s="13" t="inlineStr">
        <is>
          <t>住宅</t>
        </is>
      </c>
      <c r="G16" s="13" t="inlineStr">
        <is>
          <t>阿里资产</t>
        </is>
      </c>
      <c r="H16" s="13" t="inlineStr">
        <is>
          <t>二拍</t>
        </is>
      </c>
      <c r="I16" s="48" t="n">
        <v>46261.08333333334</v>
      </c>
      <c r="J16" s="13" t="inlineStr">
        <is>
          <t>否</t>
        </is>
      </c>
      <c r="K16" s="13" t="inlineStr">
        <is>
          <t>平潭县人民法院</t>
        </is>
      </c>
      <c r="L16" s="30" t="n">
        <v>162.05</v>
      </c>
      <c r="M16" s="33">
        <f>IF(AND(ISNUMBER(N16),ISNUMBER(L16),L16&gt;0),ROUND(N16/L16,2),"")</f>
        <v/>
      </c>
      <c r="N16" s="49" t="n">
        <v>2408322</v>
      </c>
      <c r="O16" s="49" t="n">
        <v>3010402.85</v>
      </c>
      <c r="P16" s="38">
        <f>IF(AND(ISNUMBER(N16),ISNUMBER(O16),O16&gt;0),N16/O16,"")</f>
        <v/>
      </c>
      <c r="Q16" s="44" t="n">
        <v>0</v>
      </c>
      <c r="R16" s="44" t="n">
        <v>0</v>
      </c>
      <c r="S16" s="20" t="inlineStr">
        <is>
          <t>面积证据：1.拍卖对象：台江区瀛洲街道江滨中大道116号君临闽江公寓(原君临闽江)4#楼303单元房产，房屋建筑面积：162.05平方米，具体情况以现场看样为准。；浏览器补采</t>
        </is>
      </c>
      <c r="T16" s="20" t="inlineStr">
        <is>
          <t>https://sf-item.taobao.com/sf_item/1072157815603.htm</t>
        </is>
      </c>
    </row>
    <row r="17">
      <c r="A17" s="13" t="inlineStr">
        <is>
          <t>福建省</t>
        </is>
      </c>
      <c r="B17" s="13" t="inlineStr">
        <is>
          <t>福州市</t>
        </is>
      </c>
      <c r="C17" s="13" t="inlineStr">
        <is>
          <t>台江区</t>
        </is>
      </c>
      <c r="D17" s="13" t="inlineStr">
        <is>
          <t>广达路广达花园3#楼403单元的房屋及1层54附属间</t>
        </is>
      </c>
      <c r="E17" s="13" t="inlineStr">
        <is>
          <t>广达花园</t>
        </is>
      </c>
      <c r="F17" s="13" t="inlineStr">
        <is>
          <t>住宅</t>
        </is>
      </c>
      <c r="G17" s="13" t="inlineStr">
        <is>
          <t>阿里资产</t>
        </is>
      </c>
      <c r="H17" s="13" t="inlineStr">
        <is>
          <t>一拍</t>
        </is>
      </c>
      <c r="I17" s="60" t="n">
        <v>46260.08333333334</v>
      </c>
      <c r="J17" s="13" t="inlineStr">
        <is>
          <t>否</t>
        </is>
      </c>
      <c r="K17" s="13" t="inlineStr">
        <is>
          <t>闽清县人民法院</t>
        </is>
      </c>
      <c r="L17" s="29" t="inlineStr">
        <is>
          <t>未找到</t>
        </is>
      </c>
      <c r="M17" s="33">
        <f>IF(AND(ISNUMBER(N17),ISNUMBER(L17),L17&gt;0),ROUND(N17/L17,2),"")</f>
        <v/>
      </c>
      <c r="N17" s="49" t="n">
        <v>916560</v>
      </c>
      <c r="O17" s="49" t="n">
        <v>1145700</v>
      </c>
      <c r="P17" s="38">
        <f>IF(AND(ISNUMBER(N17),ISNUMBER(O17),O17&gt;0),N17/O17,"")</f>
        <v/>
      </c>
      <c r="Q17" s="44" t="n">
        <v>0</v>
      </c>
      <c r="R17" s="47" t="inlineStr">
        <is>
          <t>未找到</t>
        </is>
      </c>
      <c r="S17" s="13" t="inlineStr">
        <is>
          <t>本次补采未获取到面积证据，需人工复核；浏览器补采</t>
        </is>
      </c>
      <c r="T17" s="20" t="inlineStr">
        <is>
          <t>https://sf-item.taobao.com/sf_item/1068399270975.htm</t>
        </is>
      </c>
    </row>
    <row r="18">
      <c r="A18" s="13" t="inlineStr">
        <is>
          <t>福建省</t>
        </is>
      </c>
      <c r="B18" s="13" t="inlineStr">
        <is>
          <t>福州市</t>
        </is>
      </c>
      <c r="C18" s="13" t="inlineStr">
        <is>
          <t>长乐区</t>
        </is>
      </c>
      <c r="D18" s="13" t="inlineStr">
        <is>
          <t>漳港街道锦绣路88号永亨·海港城A-19#楼206单元</t>
        </is>
      </c>
      <c r="E18" s="13" t="inlineStr">
        <is>
          <t>永亨·海港城</t>
        </is>
      </c>
      <c r="F18" s="13" t="inlineStr">
        <is>
          <t>住宅</t>
        </is>
      </c>
      <c r="G18" s="13" t="inlineStr">
        <is>
          <t>阿里资产</t>
        </is>
      </c>
      <c r="H18" s="13" t="inlineStr">
        <is>
          <t>变卖</t>
        </is>
      </c>
      <c r="I18" s="48" t="n">
        <v>46261.08333333334</v>
      </c>
      <c r="J18" s="13" t="inlineStr">
        <is>
          <t>否</t>
        </is>
      </c>
      <c r="K18" s="13" t="inlineStr">
        <is>
          <t>福州市长乐区人民法院</t>
        </is>
      </c>
      <c r="L18" s="30" t="n">
        <v>112.46</v>
      </c>
      <c r="M18" s="33">
        <f>IF(AND(ISNUMBER(N18),ISNUMBER(L18),L18&gt;0),ROUND(N18/L18,2),"")</f>
        <v/>
      </c>
      <c r="N18" s="49" t="n">
        <v>410400</v>
      </c>
      <c r="O18" s="49" t="n">
        <v>731541</v>
      </c>
      <c r="P18" s="38">
        <f>IF(AND(ISNUMBER(N18),ISNUMBER(O18),O18&gt;0),N18/O18,"")</f>
        <v/>
      </c>
      <c r="Q18" s="44" t="n">
        <v>0</v>
      </c>
      <c r="R18" s="44" t="n">
        <v>0</v>
      </c>
      <c r="S18" s="20" t="inlineStr">
        <is>
          <t>面积证据：1、变卖对象：福州市长乐区漳港街道锦绣路88号永亨·海港城A-19#楼206单元[闽（2019）长乐区不动产权第0005184号]。上述不动产建筑面积约112.46平方米。规划用途为住宅。；浏览器补采</t>
        </is>
      </c>
      <c r="T18" s="20" t="inlineStr">
        <is>
          <t>https://sf-item.taobao.com/sf_item/1058738985016.htm</t>
        </is>
      </c>
    </row>
    <row r="19">
      <c r="A19" s="13" t="inlineStr">
        <is>
          <t>福建省</t>
        </is>
      </c>
      <c r="B19" s="13" t="inlineStr">
        <is>
          <t>福州市</t>
        </is>
      </c>
      <c r="C19" s="13" t="inlineStr">
        <is>
          <t>长乐区</t>
        </is>
      </c>
      <c r="D19" s="13" t="inlineStr">
        <is>
          <t>营前街道滨江路南侧融信长岛花园D地块D3#楼2502号</t>
        </is>
      </c>
      <c r="E19" s="13" t="inlineStr">
        <is>
          <t>商住小区</t>
        </is>
      </c>
      <c r="F19" s="13" t="inlineStr">
        <is>
          <t>住宅</t>
        </is>
      </c>
      <c r="G19" s="13" t="inlineStr">
        <is>
          <t>阿里资产</t>
        </is>
      </c>
      <c r="H19" s="13" t="inlineStr">
        <is>
          <t>变卖</t>
        </is>
      </c>
      <c r="I19" s="48" t="n">
        <v>46260.08333333334</v>
      </c>
      <c r="J19" s="13" t="inlineStr">
        <is>
          <t>否</t>
        </is>
      </c>
      <c r="K19" s="13" t="inlineStr">
        <is>
          <t>福州市长乐区人民法院</t>
        </is>
      </c>
      <c r="L19" s="30" t="n">
        <v>100.99</v>
      </c>
      <c r="M19" s="33">
        <f>IF(AND(ISNUMBER(N19),ISNUMBER(L19),L19&gt;0),ROUND(N19/L19,2),"")</f>
        <v/>
      </c>
      <c r="N19" s="49" t="n">
        <v>344000</v>
      </c>
      <c r="O19" s="49" t="n">
        <v>608556</v>
      </c>
      <c r="P19" s="38">
        <f>IF(AND(ISNUMBER(N19),ISNUMBER(O19),O19&gt;0),N19/O19,"")</f>
        <v/>
      </c>
      <c r="Q19" s="44" t="n">
        <v>0</v>
      </c>
      <c r="R19" s="44" t="n">
        <v>0</v>
      </c>
      <c r="S19" s="20" t="inlineStr">
        <is>
          <t>面积证据：1、变卖对象：福州市长乐区营前街道滨江路南侧融信长岛花园D地块D3#楼2502号（航房预CL购字第16007023号）（不含屋内物品），该财产为被执行人林*所有。建筑面积：100.99平方米（产权面积仅供参考，请以最终过户为准）。实际用途为住宅。本标的物未办理产权证，能否办理过户手续及办理过户手续的时间请竞买人在竞买前自行到相关职能部门咨询确认，如具备办理条件，买受人应办理二次产权登记手续，缴纳二次税费。办理过户手续涉及网签合同、发票、涉税证明、图纸等材料需开发商、物业或其他自然人或法人配合的，由买受人自行协商，与变卖人无涉。本院仅提供相关执行文书，由买受人自行判断处理。；浏览器补采</t>
        </is>
      </c>
      <c r="T19" s="20" t="inlineStr">
        <is>
          <t>https://sf-item.taobao.com/sf_item/1056716559757.htm</t>
        </is>
      </c>
    </row>
    <row r="20">
      <c r="A20" s="13" t="inlineStr">
        <is>
          <t>福建省</t>
        </is>
      </c>
      <c r="B20" s="13" t="inlineStr">
        <is>
          <t>福州市</t>
        </is>
      </c>
      <c r="C20" s="13" t="inlineStr">
        <is>
          <t>长乐区</t>
        </is>
      </c>
      <c r="D20" s="13" t="inlineStr">
        <is>
          <t>鹤上镇京岭路11号阳光城花满园D7#1305办公</t>
        </is>
      </c>
      <c r="E20" s="13" t="inlineStr">
        <is>
          <t>阳光城</t>
        </is>
      </c>
      <c r="F20" s="13" t="inlineStr">
        <is>
          <t>商业</t>
        </is>
      </c>
      <c r="G20" s="13" t="inlineStr">
        <is>
          <t>阿里资产</t>
        </is>
      </c>
      <c r="H20" s="13" t="inlineStr">
        <is>
          <t>变卖</t>
        </is>
      </c>
      <c r="I20" s="48" t="n">
        <v>46260.08333333334</v>
      </c>
      <c r="J20" s="13" t="inlineStr">
        <is>
          <t>否</t>
        </is>
      </c>
      <c r="K20" s="13" t="inlineStr">
        <is>
          <t>福州市长乐区人民法院</t>
        </is>
      </c>
      <c r="L20" s="30" t="n">
        <v>37.01</v>
      </c>
      <c r="M20" s="33">
        <f>IF(AND(ISNUMBER(N20),ISNUMBER(L20),L20&gt;0),ROUND(N20/L20,2),"")</f>
        <v/>
      </c>
      <c r="N20" s="49" t="n">
        <v>168600</v>
      </c>
      <c r="O20" s="49" t="n">
        <v>300896</v>
      </c>
      <c r="P20" s="38">
        <f>IF(AND(ISNUMBER(N20),ISNUMBER(O20),O20&gt;0),N20/O20,"")</f>
        <v/>
      </c>
      <c r="Q20" s="44" t="n">
        <v>0</v>
      </c>
      <c r="R20" s="44" t="n">
        <v>0</v>
      </c>
      <c r="S20" s="20" t="inlineStr">
        <is>
          <t>面积证据：1、变卖对象：福州市长乐区鹤上镇京岭路11号阳光城花满园D7#1305办公[不动产证明号：闽（2020）长乐区不动产证明第0006304号]。上述标的建筑面积约37.01平方米。；浏览器补采</t>
        </is>
      </c>
      <c r="T20" s="20" t="inlineStr">
        <is>
          <t>https://sf-item.taobao.com/sf_item/1057422546793.htm</t>
        </is>
      </c>
    </row>
    <row r="21">
      <c r="A21" s="13" t="inlineStr">
        <is>
          <t>福建省</t>
        </is>
      </c>
      <c r="B21" s="13" t="inlineStr">
        <is>
          <t>福州市</t>
        </is>
      </c>
      <c r="C21" s="13" t="inlineStr">
        <is>
          <t>长乐区</t>
        </is>
      </c>
      <c r="D21" s="13" t="inlineStr">
        <is>
          <t>金峰镇金福路99号星城世家2#、3#、5#楼2层19（商业）</t>
        </is>
      </c>
      <c r="E21" s="13" t="inlineStr">
        <is>
          <t>星城</t>
        </is>
      </c>
      <c r="F21" s="13" t="inlineStr">
        <is>
          <t>商业</t>
        </is>
      </c>
      <c r="G21" s="13" t="inlineStr">
        <is>
          <t>阿里资产</t>
        </is>
      </c>
      <c r="H21" s="13" t="inlineStr">
        <is>
          <t>变卖</t>
        </is>
      </c>
      <c r="I21" s="48" t="n">
        <v>46260.08333333334</v>
      </c>
      <c r="J21" s="13" t="inlineStr">
        <is>
          <t>否</t>
        </is>
      </c>
      <c r="K21" s="13" t="inlineStr">
        <is>
          <t>福州市长乐区人民法院</t>
        </is>
      </c>
      <c r="L21" s="30" t="n">
        <v>34.97</v>
      </c>
      <c r="M21" s="33">
        <f>IF(AND(ISNUMBER(N21),ISNUMBER(L21),L21&gt;0),ROUND(N21/L21,2),"")</f>
        <v/>
      </c>
      <c r="N21" s="49" t="n">
        <v>163440</v>
      </c>
      <c r="O21" s="49" t="n">
        <v>291759</v>
      </c>
      <c r="P21" s="38">
        <f>IF(AND(ISNUMBER(N21),ISNUMBER(O21),O21&gt;0),N21/O21,"")</f>
        <v/>
      </c>
      <c r="Q21" s="44" t="n">
        <v>0</v>
      </c>
      <c r="R21" s="44" t="n">
        <v>0</v>
      </c>
      <c r="S21" s="20" t="inlineStr">
        <is>
          <t>本次补采未获取到面积证据，需人工复核；浏览器补采</t>
        </is>
      </c>
      <c r="T21" s="20" t="inlineStr">
        <is>
          <t>https://sf-item.taobao.com/sf_item/1057496082642.htm</t>
        </is>
      </c>
    </row>
    <row r="22">
      <c r="A22" s="13" t="inlineStr">
        <is>
          <t>福建省</t>
        </is>
      </c>
      <c r="B22" s="13" t="inlineStr">
        <is>
          <t>福州市</t>
        </is>
      </c>
      <c r="C22" s="13" t="inlineStr">
        <is>
          <t>长乐区</t>
        </is>
      </c>
      <c r="D22" s="13" t="inlineStr">
        <is>
          <t>文武砂镇滨海新城安置房四期（壶江泛月花园）17座501号</t>
        </is>
      </c>
      <c r="E22" s="13" t="inlineStr">
        <is>
          <t>滨海新城</t>
        </is>
      </c>
      <c r="F22" s="13" t="inlineStr">
        <is>
          <t>住宅</t>
        </is>
      </c>
      <c r="G22" s="13" t="inlineStr">
        <is>
          <t>阿里资产</t>
        </is>
      </c>
      <c r="H22" s="13" t="inlineStr">
        <is>
          <t>变卖</t>
        </is>
      </c>
      <c r="I22" s="48" t="n">
        <v>46260.08333333334</v>
      </c>
      <c r="J22" s="13" t="inlineStr">
        <is>
          <t>否</t>
        </is>
      </c>
      <c r="K22" s="13" t="inlineStr">
        <is>
          <t>福州市长乐区人民法院</t>
        </is>
      </c>
      <c r="L22" s="30" t="n">
        <v>150</v>
      </c>
      <c r="M22" s="33">
        <f>IF(AND(ISNUMBER(N22),ISNUMBER(L22),L22&gt;0),ROUND(N22/L22,2),"")</f>
        <v/>
      </c>
      <c r="N22" s="49" t="n">
        <v>448600</v>
      </c>
      <c r="O22" s="49" t="n">
        <v>801000</v>
      </c>
      <c r="P22" s="38">
        <f>IF(AND(ISNUMBER(N22),ISNUMBER(O22),O22&gt;0),N22/O22,"")</f>
        <v/>
      </c>
      <c r="Q22" s="44" t="n">
        <v>0</v>
      </c>
      <c r="R22" s="44" t="n">
        <v>0</v>
      </c>
      <c r="S22" s="20" t="inlineStr">
        <is>
          <t>本次补采未获取到面积证据，需人工复核；浏览器补采</t>
        </is>
      </c>
      <c r="T22" s="20" t="inlineStr">
        <is>
          <t>https://sf-item.taobao.com/sf_item/1059340016710.htm</t>
        </is>
      </c>
    </row>
    <row r="23">
      <c r="A23" s="13" t="inlineStr">
        <is>
          <t>福建省</t>
        </is>
      </c>
      <c r="B23" s="13" t="inlineStr">
        <is>
          <t>福州市</t>
        </is>
      </c>
      <c r="C23" s="13" t="inlineStr">
        <is>
          <t>长乐区</t>
        </is>
      </c>
      <c r="D23" s="13" t="inlineStr">
        <is>
          <t>吴航街道盛昌综合商城5幢603单元及6号杂物间</t>
        </is>
      </c>
      <c r="E23" s="13" t="inlineStr">
        <is>
          <t>盛昌综合商城</t>
        </is>
      </c>
      <c r="F23" s="13" t="inlineStr">
        <is>
          <t>商业</t>
        </is>
      </c>
      <c r="G23" s="13" t="inlineStr">
        <is>
          <t>阿里资产</t>
        </is>
      </c>
      <c r="H23" s="13" t="inlineStr">
        <is>
          <t>一拍</t>
        </is>
      </c>
      <c r="I23" s="48" t="n">
        <v>46260.08333333334</v>
      </c>
      <c r="J23" s="13" t="inlineStr">
        <is>
          <t>否</t>
        </is>
      </c>
      <c r="K23" s="13" t="inlineStr">
        <is>
          <t>福州市长乐区人民法院</t>
        </is>
      </c>
      <c r="L23" s="30" t="n">
        <v>131.6</v>
      </c>
      <c r="M23" s="33">
        <f>IF(AND(ISNUMBER(N23),ISNUMBER(L23),L23&gt;0),ROUND(N23/L23,2),"")</f>
        <v/>
      </c>
      <c r="N23" s="49" t="n">
        <v>580000</v>
      </c>
      <c r="O23" s="49" t="n">
        <v>826909</v>
      </c>
      <c r="P23" s="38">
        <f>IF(AND(ISNUMBER(N23),ISNUMBER(O23),O23&gt;0),N23/O23,"")</f>
        <v/>
      </c>
      <c r="Q23" s="44" t="n">
        <v>0</v>
      </c>
      <c r="R23" s="44" t="n">
        <v>0</v>
      </c>
      <c r="S23" s="20" t="inlineStr">
        <is>
          <t>面积证据：1、拍卖对象：福州市长乐区吴航街道盛昌综合商城5幢603单元及6号杂物间（航房权证H字第0200831号）（不含屋内物品），该财产为被执行人陈*金所有。建筑面积：131.6平方米（产权面积仅供参考，请以最终过户为准）。实际用途为住宅、杂物间。本标的物尚未腾空，使用人已承诺成交后自行迁出，若需法院强制腾空，交付尚需一定时间。；浏览器补采</t>
        </is>
      </c>
      <c r="T23" s="20" t="inlineStr">
        <is>
          <t>https://sf-item.taobao.com/sf_item/1069331777826.htm</t>
        </is>
      </c>
    </row>
    <row r="24">
      <c r="A24" s="13" t="inlineStr">
        <is>
          <t>福建省</t>
        </is>
      </c>
      <c r="B24" s="13" t="inlineStr">
        <is>
          <t>福州市</t>
        </is>
      </c>
      <c r="C24" s="13" t="inlineStr">
        <is>
          <t>长乐区</t>
        </is>
      </c>
      <c r="D24" s="13" t="inlineStr">
        <is>
          <t>营前街道融信上江城C区2号楼1310单元</t>
        </is>
      </c>
      <c r="E24" s="13" t="inlineStr">
        <is>
          <t>融信上江城</t>
        </is>
      </c>
      <c r="F24" s="13" t="inlineStr">
        <is>
          <t>住宅</t>
        </is>
      </c>
      <c r="G24" s="13" t="inlineStr">
        <is>
          <t>阿里资产</t>
        </is>
      </c>
      <c r="H24" s="13" t="inlineStr">
        <is>
          <t>一拍</t>
        </is>
      </c>
      <c r="I24" s="48" t="n">
        <v>46260.08333333334</v>
      </c>
      <c r="J24" s="13" t="inlineStr">
        <is>
          <t>否</t>
        </is>
      </c>
      <c r="K24" s="13" t="inlineStr">
        <is>
          <t>福州市长乐区人民法院</t>
        </is>
      </c>
      <c r="L24" s="30" t="n">
        <v>90</v>
      </c>
      <c r="M24" s="33">
        <f>IF(AND(ISNUMBER(N24),ISNUMBER(L24),L24&gt;0),ROUND(N24/L24,2),"")</f>
        <v/>
      </c>
      <c r="N24" s="49" t="n">
        <v>470000</v>
      </c>
      <c r="O24" s="49" t="n">
        <v>670000</v>
      </c>
      <c r="P24" s="38">
        <f>IF(AND(ISNUMBER(N24),ISNUMBER(O24),O24&gt;0),N24/O24,"")</f>
        <v/>
      </c>
      <c r="Q24" s="44" t="n">
        <v>0</v>
      </c>
      <c r="R24" s="44" t="n">
        <v>0</v>
      </c>
      <c r="S24" s="20" t="inlineStr">
        <is>
          <t>面积证据：1、拍卖对象：福州市长乐区营前街道融信上江城C区2号楼1310单元（未办证）（不含屋内物品），该财产为被执行人陈*毫与案外人张*珍共有。建筑面积：90平方米（产权面积仅供参考，请以最终过户为准）。实际用途为住宅。本标的物未办理产权证，能否办理过户手续及办理过户手续的时间请竞买人在竞买前自行到相关职能部门咨询确认，如具备办理条件，买受人应办理二次产权登记手续，缴纳二次税费。办理过户手续涉及网签合同、发票、涉税证明、图纸等材料需开发商、物业或其他自然人或法人配合的，由买受人自行协商，与拍卖人无涉。本院仅提供相关执行文书，由买受人自行判断处理。标的物为拆迁安置房，尚未办理产权登记，安置房协议书上载明的房产面积仅供参考，实际面积以登记部门最终测量的面积为准。安置房过户过程中如需补缴差额等费用，由买受人承担。本标的物尚未腾空，使用人已承诺成交后自行迁出，若需法院强制腾空，交付尚需一定时间。；浏览器补采</t>
        </is>
      </c>
      <c r="T24" s="20" t="inlineStr">
        <is>
          <t>https://sf-item.taobao.com/sf_item/1070298180623.htm</t>
        </is>
      </c>
    </row>
    <row r="25">
      <c r="A25" s="13" t="inlineStr">
        <is>
          <t>福建省</t>
        </is>
      </c>
      <c r="B25" s="13" t="inlineStr">
        <is>
          <t>福州市</t>
        </is>
      </c>
      <c r="C25" s="13" t="inlineStr">
        <is>
          <t>仓山区</t>
        </is>
      </c>
      <c r="D25" s="13" t="inlineStr">
        <is>
          <t>下渡街道南江滨西大道96号港头商务中心（港头广场）3#楼在建工程及相应土地使用权的房地产以及地下室A、D、E地下1层E001-E086车位及地下2层E001-E213车位的房地产</t>
        </is>
      </c>
      <c r="E25" s="13" t="inlineStr">
        <is>
          <t>港头商务中心</t>
        </is>
      </c>
      <c r="F25" s="13" t="inlineStr">
        <is>
          <t>商业</t>
        </is>
      </c>
      <c r="G25" s="13" t="inlineStr">
        <is>
          <t>京东拍卖</t>
        </is>
      </c>
      <c r="H25" s="13" t="inlineStr">
        <is>
          <t>一拍</t>
        </is>
      </c>
      <c r="I25" s="48" t="n">
        <v>46260.41666666666</v>
      </c>
      <c r="J25" s="13" t="inlineStr">
        <is>
          <t>否</t>
        </is>
      </c>
      <c r="K25" s="13" t="inlineStr">
        <is>
          <t>福建省福州市中级人民法院</t>
        </is>
      </c>
      <c r="L25" s="30" t="n">
        <v>56505.59</v>
      </c>
      <c r="M25" s="33">
        <f>IF(AND(ISNUMBER(N25),ISNUMBER(L25),L25&gt;0),ROUND(N25/L25,2),"")</f>
        <v/>
      </c>
      <c r="N25" s="49" t="n">
        <v>539449669</v>
      </c>
      <c r="O25" s="49" t="n">
        <v>770642383</v>
      </c>
      <c r="P25" s="38">
        <f>IF(AND(ISNUMBER(N25),ISNUMBER(O25),O25&gt;0),N25/O25,"")</f>
        <v/>
      </c>
      <c r="Q25" s="44" t="n">
        <v>0</v>
      </c>
      <c r="R25" s="44" t="n">
        <v>0</v>
      </c>
      <c r="S25" s="20" t="inlineStr">
        <is>
          <t>面积证据：总建筑面积56505.59平方米，其中酒店总建筑面积43559.67平方米，商务办公总建筑面积8882.99平方米；标题另列地下车位但任务内无车位分项面积，无法确认总建筑面积是否含车位，人工需复核。；数据疑似有误：商业面积为56505.59㎡，超过10000㎡</t>
        </is>
      </c>
      <c r="T25" s="20" t="inlineStr">
        <is>
          <t>https://paimai.jd.com/311004153</t>
        </is>
      </c>
    </row>
    <row r="26">
      <c r="A26" s="13" t="inlineStr">
        <is>
          <t>福建省</t>
        </is>
      </c>
      <c r="B26" s="13" t="inlineStr">
        <is>
          <t>福州市</t>
        </is>
      </c>
      <c r="C26" s="13" t="inlineStr">
        <is>
          <t>福清市</t>
        </is>
      </c>
      <c r="D26" s="13" t="inlineStr">
        <is>
          <t>融城镇一拂路文化大厦1层A59商铺房地产</t>
        </is>
      </c>
      <c r="E26" s="13" t="inlineStr">
        <is>
          <t>文化大厦</t>
        </is>
      </c>
      <c r="F26" s="13" t="inlineStr">
        <is>
          <t>工业</t>
        </is>
      </c>
      <c r="G26" s="13" t="inlineStr">
        <is>
          <t>京东拍卖</t>
        </is>
      </c>
      <c r="H26" s="13" t="inlineStr">
        <is>
          <t>二拍</t>
        </is>
      </c>
      <c r="I26" s="48" t="n">
        <v>43863.41666666666</v>
      </c>
      <c r="J26" s="13" t="inlineStr">
        <is>
          <t>否</t>
        </is>
      </c>
      <c r="K26" s="13" t="inlineStr">
        <is>
          <t>襄阳市樊城区人民法院</t>
        </is>
      </c>
      <c r="L26" s="30" t="n">
        <v>13.21</v>
      </c>
      <c r="M26" s="33">
        <f>IF(AND(ISNUMBER(N26),ISNUMBER(L26),L26&gt;0),ROUND(N26/L26,2),"")</f>
        <v/>
      </c>
      <c r="N26" s="49" t="n">
        <v>159578</v>
      </c>
      <c r="O26" s="49" t="n">
        <v>177309.66</v>
      </c>
      <c r="P26" s="38">
        <f>IF(AND(ISNUMBER(N26),ISNUMBER(O26),O26&gt;0),N26/O26,"")</f>
        <v/>
      </c>
      <c r="Q26" s="44" t="n">
        <v>0</v>
      </c>
      <c r="R26" s="44" t="n">
        <v>0</v>
      </c>
      <c r="S26" s="20" t="inlineStr">
        <is>
          <t>40</t>
        </is>
      </c>
      <c r="T26" s="20" t="inlineStr">
        <is>
          <t>https://paimai.jd.com/113101278</t>
        </is>
      </c>
    </row>
    <row r="27">
      <c r="A27" s="13" t="inlineStr">
        <is>
          <t>福建省</t>
        </is>
      </c>
      <c r="B27" s="13" t="inlineStr">
        <is>
          <t>福州市</t>
        </is>
      </c>
      <c r="C27" s="13" t="inlineStr">
        <is>
          <t>福清市</t>
        </is>
      </c>
      <c r="D27" s="13" t="inlineStr">
        <is>
          <t>融城镇一拂路文化大厦1层A59商铺房地产</t>
        </is>
      </c>
      <c r="E27" s="13" t="inlineStr">
        <is>
          <t>文化大厦</t>
        </is>
      </c>
      <c r="F27" s="13" t="inlineStr">
        <is>
          <t>工业</t>
        </is>
      </c>
      <c r="G27" s="13" t="inlineStr">
        <is>
          <t>京东拍卖</t>
        </is>
      </c>
      <c r="H27" s="13" t="inlineStr">
        <is>
          <t>一拍</t>
        </is>
      </c>
      <c r="I27" s="48" t="n">
        <v>43838.41666666666</v>
      </c>
      <c r="J27" s="13" t="inlineStr">
        <is>
          <t>否</t>
        </is>
      </c>
      <c r="K27" s="13" t="inlineStr">
        <is>
          <t>襄阳市樊城区人民法院</t>
        </is>
      </c>
      <c r="L27" s="30" t="n">
        <v>13.21</v>
      </c>
      <c r="M27" s="33">
        <f>IF(AND(ISNUMBER(N27),ISNUMBER(L27),L27&gt;0),ROUND(N27/L27,2),"")</f>
        <v/>
      </c>
      <c r="N27" s="49" t="n">
        <v>177309.66</v>
      </c>
      <c r="O27" s="49" t="n">
        <v>177309.66</v>
      </c>
      <c r="P27" s="38">
        <f>IF(AND(ISNUMBER(N27),ISNUMBER(O27),O27&gt;0),N27/O27,"")</f>
        <v/>
      </c>
      <c r="Q27" s="44" t="n">
        <v>0</v>
      </c>
      <c r="R27" s="44" t="n">
        <v>0</v>
      </c>
      <c r="S27" s="20" t="inlineStr">
        <is>
          <t>40</t>
        </is>
      </c>
      <c r="T27" s="20" t="inlineStr">
        <is>
          <t>https://paimai.jd.com/112415527</t>
        </is>
      </c>
    </row>
    <row r="28">
      <c r="A28" s="13" t="inlineStr">
        <is>
          <t>福建省</t>
        </is>
      </c>
      <c r="B28" s="13" t="inlineStr">
        <is>
          <t>福州市</t>
        </is>
      </c>
      <c r="C28" s="13" t="inlineStr">
        <is>
          <t>福清市</t>
        </is>
      </c>
      <c r="D28" s="13" t="inlineStr">
        <is>
          <t>龙田镇龙辉街龙粮商住楼401号住宅一套</t>
        </is>
      </c>
      <c r="E28" s="13" t="inlineStr">
        <is>
          <t>龙粮商住楼</t>
        </is>
      </c>
      <c r="F28" s="13" t="inlineStr">
        <is>
          <t>住宅</t>
        </is>
      </c>
      <c r="G28" s="13" t="inlineStr">
        <is>
          <t>京东拍卖</t>
        </is>
      </c>
      <c r="H28" s="13" t="inlineStr">
        <is>
          <t>一拍</t>
        </is>
      </c>
      <c r="I28" s="48" t="n">
        <v>43830.41666666666</v>
      </c>
      <c r="J28" s="13" t="inlineStr">
        <is>
          <t>否</t>
        </is>
      </c>
      <c r="K28" s="13" t="inlineStr">
        <is>
          <t>献县人民法院</t>
        </is>
      </c>
      <c r="L28" s="30" t="n">
        <v>134.27</v>
      </c>
      <c r="M28" s="33">
        <f>IF(AND(ISNUMBER(N28),ISNUMBER(L28),L28&gt;0),ROUND(N28/L28,2),"")</f>
        <v/>
      </c>
      <c r="N28" s="49" t="n">
        <v>447600</v>
      </c>
      <c r="O28" s="49" t="n">
        <v>559500</v>
      </c>
      <c r="P28" s="38">
        <f>IF(AND(ISNUMBER(N28),ISNUMBER(O28),O28&gt;0),N28/O28,"")</f>
        <v/>
      </c>
      <c r="Q28" s="44" t="n">
        <v>0</v>
      </c>
      <c r="R28" s="44" t="n">
        <v>0</v>
      </c>
      <c r="S28" s="20" t="inlineStr">
        <is>
          <t>40</t>
        </is>
      </c>
      <c r="T28" s="20" t="inlineStr">
        <is>
          <t>https://paimai.jd.com/112239186</t>
        </is>
      </c>
    </row>
    <row r="29">
      <c r="A29" s="13" t="inlineStr">
        <is>
          <t>福建省</t>
        </is>
      </c>
      <c r="B29" s="13" t="inlineStr">
        <is>
          <t>福州市</t>
        </is>
      </c>
      <c r="C29" s="13" t="inlineStr">
        <is>
          <t>鼓楼区</t>
        </is>
      </c>
      <c r="D29" s="13" t="inlineStr">
        <is>
          <t>鼓西街道湖滨路78号闵发西湖广场1#、2#、3#楼连体4层08室</t>
        </is>
      </c>
      <c r="E29" s="13" t="inlineStr">
        <is>
          <t>闵发西湖广场</t>
        </is>
      </c>
      <c r="F29" s="13" t="inlineStr">
        <is>
          <t>工业</t>
        </is>
      </c>
      <c r="G29" s="13" t="inlineStr">
        <is>
          <t>京东拍卖</t>
        </is>
      </c>
      <c r="H29" s="13" t="inlineStr">
        <is>
          <t>一拍</t>
        </is>
      </c>
      <c r="I29" s="48" t="n">
        <v>43850.41666666666</v>
      </c>
      <c r="J29" s="13" t="inlineStr">
        <is>
          <t>否</t>
        </is>
      </c>
      <c r="K29" s="13" t="inlineStr">
        <is>
          <t>四川省成都市中级人民法院</t>
        </is>
      </c>
      <c r="L29" s="30" t="n">
        <v>529.3099999999999</v>
      </c>
      <c r="M29" s="33">
        <f>IF(AND(ISNUMBER(N29),ISNUMBER(L29),L29&gt;0),ROUND(N29/L29,2),"")</f>
        <v/>
      </c>
      <c r="N29" s="49" t="n">
        <v>4740000</v>
      </c>
      <c r="O29" s="49" t="n">
        <v>6759300</v>
      </c>
      <c r="P29" s="38">
        <f>IF(AND(ISNUMBER(N29),ISNUMBER(O29),O29&gt;0),N29/O29,"")</f>
        <v/>
      </c>
      <c r="Q29" s="44" t="n">
        <v>0</v>
      </c>
      <c r="R29" s="44" t="n">
        <v>0</v>
      </c>
      <c r="S29" s="20" t="inlineStr">
        <is>
          <t>40</t>
        </is>
      </c>
      <c r="T29" s="20" t="inlineStr">
        <is>
          <t>https://paimai.jd.com/112589496</t>
        </is>
      </c>
    </row>
    <row r="30">
      <c r="A30" s="13" t="inlineStr">
        <is>
          <t>福建省</t>
        </is>
      </c>
      <c r="B30" s="13" t="inlineStr">
        <is>
          <t>福州市</t>
        </is>
      </c>
      <c r="C30" s="13" t="inlineStr">
        <is>
          <t>鼓楼区</t>
        </is>
      </c>
      <c r="D30" s="13" t="inlineStr">
        <is>
          <t>水部街道六一中路28号佳盛广场A.B.C座连体2层整层。</t>
        </is>
      </c>
      <c r="E30" s="13" t="inlineStr">
        <is>
          <t>佳盛广场</t>
        </is>
      </c>
      <c r="F30" s="13" t="inlineStr">
        <is>
          <t>工业</t>
        </is>
      </c>
      <c r="G30" s="13" t="inlineStr">
        <is>
          <t>京东拍卖</t>
        </is>
      </c>
      <c r="H30" s="13" t="inlineStr">
        <is>
          <t>变卖</t>
        </is>
      </c>
      <c r="I30" s="48" t="n">
        <v>43340.41666666666</v>
      </c>
      <c r="J30" s="13" t="inlineStr">
        <is>
          <t>否</t>
        </is>
      </c>
      <c r="K30" s="13" t="inlineStr">
        <is>
          <t>四川省自贡市中级人民法院</t>
        </is>
      </c>
      <c r="L30" s="30" t="n">
        <v>4787.34</v>
      </c>
      <c r="M30" s="33">
        <f>IF(AND(ISNUMBER(N30),ISNUMBER(L30),L30&gt;0),ROUND(N30/L30,2),"")</f>
        <v/>
      </c>
      <c r="N30" s="49" t="n">
        <v>70176000</v>
      </c>
      <c r="O30" s="49" t="n">
        <v>125308600</v>
      </c>
      <c r="P30" s="38">
        <f>IF(AND(ISNUMBER(N30),ISNUMBER(O30),O30&gt;0),N30/O30,"")</f>
        <v/>
      </c>
      <c r="Q30" s="44" t="n">
        <v>0</v>
      </c>
      <c r="R30" s="44" t="n">
        <v>0</v>
      </c>
      <c r="S30" s="20" t="inlineStr">
        <is>
          <t>40</t>
        </is>
      </c>
      <c r="T30" s="20" t="inlineStr">
        <is>
          <t>https://paimai.jd.com/106151044</t>
        </is>
      </c>
    </row>
    <row r="31">
      <c r="A31" s="13" t="inlineStr">
        <is>
          <t>福建省</t>
        </is>
      </c>
      <c r="B31" s="13" t="inlineStr">
        <is>
          <t>福州市</t>
        </is>
      </c>
      <c r="C31" s="13" t="inlineStr">
        <is>
          <t>鼓楼区</t>
        </is>
      </c>
      <c r="D31" s="13" t="inlineStr">
        <is>
          <t>水部街道六一中路28号佳盛广场A.B.C座连体2层整层。</t>
        </is>
      </c>
      <c r="E31" s="13" t="inlineStr">
        <is>
          <t>佳盛广场</t>
        </is>
      </c>
      <c r="F31" s="13" t="inlineStr">
        <is>
          <t>工业</t>
        </is>
      </c>
      <c r="G31" s="13" t="inlineStr">
        <is>
          <t>京东拍卖</t>
        </is>
      </c>
      <c r="H31" s="13" t="inlineStr">
        <is>
          <t>二拍</t>
        </is>
      </c>
      <c r="I31" s="48" t="n">
        <v>43228.41666666666</v>
      </c>
      <c r="J31" s="13" t="inlineStr">
        <is>
          <t>否</t>
        </is>
      </c>
      <c r="K31" s="13" t="inlineStr">
        <is>
          <t>四川省自贡市中级人民法院</t>
        </is>
      </c>
      <c r="L31" s="30" t="n">
        <v>4787.34</v>
      </c>
      <c r="M31" s="33">
        <f>IF(AND(ISNUMBER(N31),ISNUMBER(L31),L31&gt;0),ROUND(N31/L31,2),"")</f>
        <v/>
      </c>
      <c r="N31" s="49" t="n">
        <v>70176000</v>
      </c>
      <c r="O31" s="49" t="n">
        <v>125308600</v>
      </c>
      <c r="P31" s="38">
        <f>IF(AND(ISNUMBER(N31),ISNUMBER(O31),O31&gt;0),N31/O31,"")</f>
        <v/>
      </c>
      <c r="Q31" s="44" t="n">
        <v>0</v>
      </c>
      <c r="R31" s="44" t="n">
        <v>0</v>
      </c>
      <c r="S31" s="20" t="inlineStr">
        <is>
          <t>40</t>
        </is>
      </c>
      <c r="T31" s="20" t="inlineStr">
        <is>
          <t>https://paimai.jd.com/105641188</t>
        </is>
      </c>
    </row>
    <row r="32">
      <c r="A32" s="13" t="inlineStr">
        <is>
          <t>福建省</t>
        </is>
      </c>
      <c r="B32" s="13" t="inlineStr">
        <is>
          <t>福州市</t>
        </is>
      </c>
      <c r="C32" s="13" t="inlineStr">
        <is>
          <t>鼓楼区</t>
        </is>
      </c>
      <c r="D32" s="13" t="inlineStr">
        <is>
          <t>水部街道六一中路28号佳盛广场A.B.C座连体2层整层。</t>
        </is>
      </c>
      <c r="E32" s="13" t="inlineStr">
        <is>
          <t>佳盛广场</t>
        </is>
      </c>
      <c r="F32" s="13" t="inlineStr">
        <is>
          <t>工业</t>
        </is>
      </c>
      <c r="G32" s="13" t="inlineStr">
        <is>
          <t>京东拍卖</t>
        </is>
      </c>
      <c r="H32" s="13" t="inlineStr">
        <is>
          <t>一拍</t>
        </is>
      </c>
      <c r="I32" s="48" t="n">
        <v>43201.41666666666</v>
      </c>
      <c r="J32" s="13" t="inlineStr">
        <is>
          <t>否</t>
        </is>
      </c>
      <c r="K32" s="13" t="inlineStr">
        <is>
          <t>四川省自贡市中级人民法院</t>
        </is>
      </c>
      <c r="L32" s="30" t="n">
        <v>4787.34</v>
      </c>
      <c r="M32" s="33">
        <f>IF(AND(ISNUMBER(N32),ISNUMBER(L32),L32&gt;0),ROUND(N32/L32,2),"")</f>
        <v/>
      </c>
      <c r="N32" s="49" t="n">
        <v>87720000</v>
      </c>
      <c r="O32" s="49" t="n">
        <v>125308600</v>
      </c>
      <c r="P32" s="38">
        <f>IF(AND(ISNUMBER(N32),ISNUMBER(O32),O32&gt;0),N32/O32,"")</f>
        <v/>
      </c>
      <c r="Q32" s="44" t="n">
        <v>0</v>
      </c>
      <c r="R32" s="44" t="n">
        <v>0</v>
      </c>
      <c r="S32" s="20" t="inlineStr">
        <is>
          <t>40</t>
        </is>
      </c>
      <c r="T32" s="20" t="inlineStr">
        <is>
          <t>https://paimai.jd.com/105214121</t>
        </is>
      </c>
    </row>
    <row r="33">
      <c r="A33" s="13" t="inlineStr">
        <is>
          <t>福建省</t>
        </is>
      </c>
      <c r="B33" s="13" t="inlineStr">
        <is>
          <t>福州市</t>
        </is>
      </c>
      <c r="C33" s="13" t="inlineStr">
        <is>
          <t>鼓楼区</t>
        </is>
      </c>
      <c r="D33" s="13" t="inlineStr">
        <is>
          <t>水部街道六一中路28号佳盛广场A、B、C座连体4层整层商业用房</t>
        </is>
      </c>
      <c r="E33" s="13" t="inlineStr">
        <is>
          <t>佳盛广场</t>
        </is>
      </c>
      <c r="F33" s="13" t="inlineStr">
        <is>
          <t>工业</t>
        </is>
      </c>
      <c r="G33" s="13" t="inlineStr">
        <is>
          <t>京东拍卖</t>
        </is>
      </c>
      <c r="H33" s="13" t="inlineStr">
        <is>
          <t>二拍</t>
        </is>
      </c>
      <c r="I33" s="48" t="n">
        <v>43157.41666666666</v>
      </c>
      <c r="J33" s="13" t="inlineStr">
        <is>
          <t>否</t>
        </is>
      </c>
      <c r="K33" s="13" t="inlineStr">
        <is>
          <t>四川省成都市中级人民法院</t>
        </is>
      </c>
      <c r="L33" s="30" t="n">
        <v>4688.44</v>
      </c>
      <c r="M33" s="33">
        <f>IF(AND(ISNUMBER(N33),ISNUMBER(L33),L33&gt;0),ROUND(N33/L33,2),"")</f>
        <v/>
      </c>
      <c r="N33" s="49" t="n">
        <v>85512500</v>
      </c>
      <c r="O33" s="49" t="n">
        <v>105897800</v>
      </c>
      <c r="P33" s="38">
        <f>IF(AND(ISNUMBER(N33),ISNUMBER(O33),O33&gt;0),N33/O33,"")</f>
        <v/>
      </c>
      <c r="Q33" s="44" t="n">
        <v>0</v>
      </c>
      <c r="R33" s="44" t="n">
        <v>0</v>
      </c>
      <c r="S33" s="20" t="inlineStr">
        <is>
          <t>40</t>
        </is>
      </c>
      <c r="T33" s="20" t="inlineStr">
        <is>
          <t>https://paimai.jd.com/105065533</t>
        </is>
      </c>
    </row>
    <row r="34">
      <c r="A34" s="13" t="inlineStr">
        <is>
          <t>福建省</t>
        </is>
      </c>
      <c r="B34" s="13" t="inlineStr">
        <is>
          <t>福州市</t>
        </is>
      </c>
      <c r="C34" s="13" t="inlineStr">
        <is>
          <t>鼓楼区</t>
        </is>
      </c>
      <c r="D34" s="13" t="inlineStr">
        <is>
          <t>水部街道六一中路28号佳盛广场A、B、C座连体4层整层商业用房</t>
        </is>
      </c>
      <c r="E34" s="13" t="inlineStr">
        <is>
          <t>佳盛广场</t>
        </is>
      </c>
      <c r="F34" s="13" t="inlineStr">
        <is>
          <t>工业</t>
        </is>
      </c>
      <c r="G34" s="13" t="inlineStr">
        <is>
          <t>京东拍卖</t>
        </is>
      </c>
      <c r="H34" s="13" t="inlineStr">
        <is>
          <t>一拍</t>
        </is>
      </c>
      <c r="I34" s="48" t="n">
        <v>43107.41666666666</v>
      </c>
      <c r="J34" s="13" t="inlineStr">
        <is>
          <t>否</t>
        </is>
      </c>
      <c r="K34" s="13" t="inlineStr">
        <is>
          <t>四川省成都市中级人民法院</t>
        </is>
      </c>
      <c r="L34" s="30" t="n">
        <v>4688.44</v>
      </c>
      <c r="M34" s="33">
        <f>IF(AND(ISNUMBER(N34),ISNUMBER(L34),L34&gt;0),ROUND(N34/L34,2),"")</f>
        <v/>
      </c>
      <c r="N34" s="49" t="n">
        <v>90013130</v>
      </c>
      <c r="O34" s="49" t="n">
        <v>105897800</v>
      </c>
      <c r="P34" s="38">
        <f>IF(AND(ISNUMBER(N34),ISNUMBER(O34),O34&gt;0),N34/O34,"")</f>
        <v/>
      </c>
      <c r="Q34" s="44" t="n">
        <v>0</v>
      </c>
      <c r="R34" s="44" t="n">
        <v>0</v>
      </c>
      <c r="S34" s="20" t="inlineStr">
        <is>
          <t>40</t>
        </is>
      </c>
      <c r="T34" s="20" t="inlineStr">
        <is>
          <t>https://paimai.jd.com/104537492</t>
        </is>
      </c>
    </row>
    <row r="35">
      <c r="A35" s="13" t="inlineStr">
        <is>
          <t>福建省</t>
        </is>
      </c>
      <c r="B35" s="13" t="inlineStr">
        <is>
          <t>福州市</t>
        </is>
      </c>
      <c r="C35" s="13" t="inlineStr">
        <is>
          <t>晋安区</t>
        </is>
      </c>
      <c r="D35" s="13" t="inlineStr">
        <is>
          <t>新店镇南平东路668号鲁能花园一期地下室地下1层0164车位</t>
        </is>
      </c>
      <c r="E35" s="13" t="inlineStr">
        <is>
          <t>鲁能花园</t>
        </is>
      </c>
      <c r="F35" s="13" t="inlineStr">
        <is>
          <t>车位</t>
        </is>
      </c>
      <c r="G35" s="13" t="inlineStr">
        <is>
          <t>京东拍卖</t>
        </is>
      </c>
      <c r="H35" s="13" t="inlineStr">
        <is>
          <t>一拍</t>
        </is>
      </c>
      <c r="I35" s="48" t="n">
        <v>46261.41666666666</v>
      </c>
      <c r="J35" s="13" t="inlineStr">
        <is>
          <t>否</t>
        </is>
      </c>
      <c r="K35" s="13" t="inlineStr">
        <is>
          <t>平潭县人民法院</t>
        </is>
      </c>
      <c r="L35" s="30" t="n">
        <v>28.34</v>
      </c>
      <c r="M35" s="33">
        <f>IF(AND(ISNUMBER(N35),ISNUMBER(L35),L35&gt;0),ROUND(N35/L35,2),"")</f>
        <v/>
      </c>
      <c r="N35" s="49" t="n">
        <v>162309</v>
      </c>
      <c r="O35" s="49" t="n">
        <v>202886.06</v>
      </c>
      <c r="P35" s="38">
        <f>IF(AND(ISNUMBER(N35),ISNUMBER(O35),O35&gt;0),N35/O35,"")</f>
        <v/>
      </c>
      <c r="Q35" s="44" t="n">
        <v>0</v>
      </c>
      <c r="R35" s="44" t="n">
        <v>0</v>
      </c>
      <c r="S35" s="20" t="inlineStr">
        <is>
          <t>40</t>
        </is>
      </c>
      <c r="T35" s="20" t="inlineStr">
        <is>
          <t>https://paimai.jd.com/311005528</t>
        </is>
      </c>
    </row>
    <row r="36">
      <c r="A36" s="13" t="inlineStr">
        <is>
          <t>福建省</t>
        </is>
      </c>
      <c r="B36" s="13" t="inlineStr">
        <is>
          <t>福州市</t>
        </is>
      </c>
      <c r="C36" s="13" t="inlineStr">
        <is>
          <t>晋安区</t>
        </is>
      </c>
      <c r="D36" s="13" t="inlineStr">
        <is>
          <t>王庄街道福马路168号名城花园18号楼103室房地产</t>
        </is>
      </c>
      <c r="E36" s="13" t="inlineStr">
        <is>
          <t>名城</t>
        </is>
      </c>
      <c r="F36" s="13" t="inlineStr">
        <is>
          <t>住宅</t>
        </is>
      </c>
      <c r="G36" s="13" t="inlineStr">
        <is>
          <t>京东拍卖</t>
        </is>
      </c>
      <c r="H36" s="13" t="inlineStr">
        <is>
          <t>二拍</t>
        </is>
      </c>
      <c r="I36" s="48" t="n">
        <v>43863.41666666666</v>
      </c>
      <c r="J36" s="13" t="inlineStr">
        <is>
          <t>否</t>
        </is>
      </c>
      <c r="K36" s="13" t="inlineStr">
        <is>
          <t>襄阳市樊城区人民法院</t>
        </is>
      </c>
      <c r="L36" s="30" t="n">
        <v>149.28</v>
      </c>
      <c r="M36" s="33">
        <f>IF(AND(ISNUMBER(N36),ISNUMBER(L36),L36&gt;0),ROUND(N36/L36,2),"")</f>
        <v/>
      </c>
      <c r="N36" s="49" t="n">
        <v>3018355</v>
      </c>
      <c r="O36" s="49" t="n">
        <v>3353728</v>
      </c>
      <c r="P36" s="38">
        <f>IF(AND(ISNUMBER(N36),ISNUMBER(O36),O36&gt;0),N36/O36,"")</f>
        <v/>
      </c>
      <c r="Q36" s="44" t="n">
        <v>0</v>
      </c>
      <c r="R36" s="44" t="n">
        <v>0</v>
      </c>
      <c r="S36" s="20" t="inlineStr">
        <is>
          <t>40</t>
        </is>
      </c>
      <c r="T36" s="20" t="inlineStr">
        <is>
          <t>https://paimai.jd.com/113101289</t>
        </is>
      </c>
    </row>
    <row r="37">
      <c r="A37" s="13" t="inlineStr">
        <is>
          <t>福建省</t>
        </is>
      </c>
      <c r="B37" s="13" t="inlineStr">
        <is>
          <t>福州市</t>
        </is>
      </c>
      <c r="C37" s="13" t="inlineStr">
        <is>
          <t>晋安区</t>
        </is>
      </c>
      <c r="D37" s="13" t="inlineStr">
        <is>
          <t>王庄街道福马路168号名城花园18号楼103室房地产</t>
        </is>
      </c>
      <c r="E37" s="13" t="inlineStr">
        <is>
          <t>名城</t>
        </is>
      </c>
      <c r="F37" s="13" t="inlineStr">
        <is>
          <t>住宅</t>
        </is>
      </c>
      <c r="G37" s="13" t="inlineStr">
        <is>
          <t>京东拍卖</t>
        </is>
      </c>
      <c r="H37" s="13" t="inlineStr">
        <is>
          <t>一拍</t>
        </is>
      </c>
      <c r="I37" s="48" t="n">
        <v>43838.41666666666</v>
      </c>
      <c r="J37" s="13" t="inlineStr">
        <is>
          <t>否</t>
        </is>
      </c>
      <c r="K37" s="13" t="inlineStr">
        <is>
          <t>襄阳市樊城区人民法院</t>
        </is>
      </c>
      <c r="L37" s="30" t="n">
        <v>149.28</v>
      </c>
      <c r="M37" s="33">
        <f>IF(AND(ISNUMBER(N37),ISNUMBER(L37),L37&gt;0),ROUND(N37/L37,2),"")</f>
        <v/>
      </c>
      <c r="N37" s="49" t="n">
        <v>3353728</v>
      </c>
      <c r="O37" s="49" t="n">
        <v>3353728</v>
      </c>
      <c r="P37" s="38">
        <f>IF(AND(ISNUMBER(N37),ISNUMBER(O37),O37&gt;0),N37/O37,"")</f>
        <v/>
      </c>
      <c r="Q37" s="44" t="n">
        <v>0</v>
      </c>
      <c r="R37" s="44" t="n">
        <v>0</v>
      </c>
      <c r="S37" s="20" t="inlineStr">
        <is>
          <t>40</t>
        </is>
      </c>
      <c r="T37" s="20" t="inlineStr">
        <is>
          <t>https://paimai.jd.com/112418762</t>
        </is>
      </c>
    </row>
    <row r="38">
      <c r="A38" s="13" t="inlineStr">
        <is>
          <t>福建省</t>
        </is>
      </c>
      <c r="B38" s="13" t="inlineStr">
        <is>
          <t>福州市</t>
        </is>
      </c>
      <c r="C38" s="13" t="inlineStr">
        <is>
          <t>晋安区</t>
        </is>
      </c>
      <c r="D38" s="13" t="inlineStr">
        <is>
          <t>新店镇南平东路151号建发北湖苑（二区）地下室地下1层122车位</t>
        </is>
      </c>
      <c r="E38" s="13" t="inlineStr">
        <is>
          <t>建发北湖苑</t>
        </is>
      </c>
      <c r="F38" s="13" t="inlineStr">
        <is>
          <t>车位</t>
        </is>
      </c>
      <c r="G38" s="13" t="inlineStr">
        <is>
          <t>京东拍卖</t>
        </is>
      </c>
      <c r="H38" s="13" t="inlineStr">
        <is>
          <t>变卖</t>
        </is>
      </c>
      <c r="I38" s="48" t="n">
        <v>43672.41666666666</v>
      </c>
      <c r="J38" s="13" t="inlineStr">
        <is>
          <t>否</t>
        </is>
      </c>
      <c r="K38" s="13" t="inlineStr">
        <is>
          <t>福州市台江区人民法院</t>
        </is>
      </c>
      <c r="L38" s="30" t="n">
        <v>30.09</v>
      </c>
      <c r="M38" s="33">
        <f>IF(AND(ISNUMBER(N38),ISNUMBER(L38),L38&gt;0),ROUND(N38/L38,2),"")</f>
        <v/>
      </c>
      <c r="N38" s="49" t="n">
        <v>256268</v>
      </c>
      <c r="O38" s="49" t="n">
        <v>284742</v>
      </c>
      <c r="P38" s="38">
        <f>IF(AND(ISNUMBER(N38),ISNUMBER(O38),O38&gt;0),N38/O38,"")</f>
        <v/>
      </c>
      <c r="Q38" s="44" t="n">
        <v>0</v>
      </c>
      <c r="R38" s="44" t="n">
        <v>0</v>
      </c>
      <c r="S38" s="20" t="inlineStr">
        <is>
          <t>40</t>
        </is>
      </c>
      <c r="T38" s="20" t="inlineStr">
        <is>
          <t>https://paimai.jd.com/109538849</t>
        </is>
      </c>
    </row>
    <row r="39">
      <c r="A39" s="13" t="inlineStr">
        <is>
          <t>福建省</t>
        </is>
      </c>
      <c r="B39" s="13" t="inlineStr">
        <is>
          <t>福州市</t>
        </is>
      </c>
      <c r="C39" s="13" t="inlineStr">
        <is>
          <t>晋安区</t>
        </is>
      </c>
      <c r="D39" s="13" t="inlineStr">
        <is>
          <t>新店镇南平东路151号建发北湖苑（二区）地下室地下1层122车位</t>
        </is>
      </c>
      <c r="E39" s="13" t="inlineStr">
        <is>
          <t>建发北湖苑</t>
        </is>
      </c>
      <c r="F39" s="13" t="inlineStr">
        <is>
          <t>车位</t>
        </is>
      </c>
      <c r="G39" s="13" t="inlineStr">
        <is>
          <t>京东拍卖</t>
        </is>
      </c>
      <c r="H39" s="13" t="inlineStr">
        <is>
          <t>二拍</t>
        </is>
      </c>
      <c r="I39" s="48" t="n">
        <v>43596.41666666666</v>
      </c>
      <c r="J39" s="13" t="inlineStr">
        <is>
          <t>否</t>
        </is>
      </c>
      <c r="K39" s="13" t="inlineStr">
        <is>
          <t>福州市台江区人民法院</t>
        </is>
      </c>
      <c r="L39" s="30" t="n">
        <v>30.09</v>
      </c>
      <c r="M39" s="33">
        <f>IF(AND(ISNUMBER(N39),ISNUMBER(L39),L39&gt;0),ROUND(N39/L39,2),"")</f>
        <v/>
      </c>
      <c r="N39" s="49" t="n">
        <v>256268</v>
      </c>
      <c r="O39" s="49" t="n">
        <v>284742</v>
      </c>
      <c r="P39" s="38">
        <f>IF(AND(ISNUMBER(N39),ISNUMBER(O39),O39&gt;0),N39/O39,"")</f>
        <v/>
      </c>
      <c r="Q39" s="44" t="n">
        <v>0</v>
      </c>
      <c r="R39" s="44" t="n">
        <v>0</v>
      </c>
      <c r="S39" s="20" t="inlineStr">
        <is>
          <t>40</t>
        </is>
      </c>
      <c r="T39" s="20" t="inlineStr">
        <is>
          <t>https://paimai.jd.com/109307708</t>
        </is>
      </c>
    </row>
    <row r="40">
      <c r="A40" s="13" t="inlineStr">
        <is>
          <t>福建省</t>
        </is>
      </c>
      <c r="B40" s="13" t="inlineStr">
        <is>
          <t>福州市</t>
        </is>
      </c>
      <c r="C40" s="13" t="inlineStr">
        <is>
          <t>晋安区</t>
        </is>
      </c>
      <c r="D40" s="13" t="inlineStr">
        <is>
          <t>新店镇南平东路151号建发北湖苑（二区）地下室地下1层122车位</t>
        </is>
      </c>
      <c r="E40" s="13" t="inlineStr">
        <is>
          <t>建发北湖苑</t>
        </is>
      </c>
      <c r="F40" s="13" t="inlineStr">
        <is>
          <t>其他/待确认</t>
        </is>
      </c>
      <c r="G40" s="13" t="inlineStr">
        <is>
          <t>京东拍卖</t>
        </is>
      </c>
      <c r="H40" s="13" t="inlineStr">
        <is>
          <t>待核验</t>
        </is>
      </c>
      <c r="I40" s="48" t="inlineStr">
        <is>
          <t>2019-04-23 10:00:00</t>
        </is>
      </c>
      <c r="J40" s="13" t="inlineStr">
        <is>
          <t>否</t>
        </is>
      </c>
      <c r="K40" s="13" t="inlineStr">
        <is>
          <t>福州市台江区人民法院</t>
        </is>
      </c>
      <c r="L40" s="30" t="n">
        <v>30.09</v>
      </c>
      <c r="M40" s="33">
        <f>IF(AND(ISNUMBER(N40),ISNUMBER(L40),L40&gt;0),ROUND(N40/L40,2),"")</f>
        <v/>
      </c>
      <c r="N40" s="49" t="n">
        <v>284742</v>
      </c>
      <c r="O40" s="49" t="n">
        <v>284742</v>
      </c>
      <c r="P40" s="38">
        <f>IF(AND(ISNUMBER(N40),ISNUMBER(O40),O40&gt;0),N40/O40,"")</f>
        <v/>
      </c>
      <c r="Q40" s="44" t="n">
        <v>0</v>
      </c>
      <c r="R40" s="44" t="n">
        <v>0</v>
      </c>
      <c r="S40" s="20" t="inlineStr">
        <is>
          <t>未找到评估报告</t>
        </is>
      </c>
      <c r="T40" s="20" t="inlineStr">
        <is>
          <t>https://paimai.jd.com/108789958</t>
        </is>
      </c>
    </row>
    <row r="41">
      <c r="A41" s="13" t="inlineStr">
        <is>
          <t>福建省</t>
        </is>
      </c>
      <c r="B41" s="13" t="inlineStr">
        <is>
          <t>福州市</t>
        </is>
      </c>
      <c r="C41" s="13" t="inlineStr">
        <is>
          <t>连江县</t>
        </is>
      </c>
      <c r="D41" s="13" t="inlineStr">
        <is>
          <t>潘渡乡沿江大道1号贵安新天地海峡传统文化街19#楼14店面</t>
        </is>
      </c>
      <c r="E41" s="13" t="inlineStr">
        <is>
          <t>贵安新天地海峡传统文化街</t>
        </is>
      </c>
      <c r="F41" s="13" t="inlineStr">
        <is>
          <t>工业</t>
        </is>
      </c>
      <c r="G41" s="13" t="inlineStr">
        <is>
          <t>京东拍卖</t>
        </is>
      </c>
      <c r="H41" s="13" t="inlineStr">
        <is>
          <t>二拍</t>
        </is>
      </c>
      <c r="I41" s="48" t="n">
        <v>43814.41666666666</v>
      </c>
      <c r="J41" s="13" t="inlineStr">
        <is>
          <t>否</t>
        </is>
      </c>
      <c r="K41" s="13" t="inlineStr">
        <is>
          <t>六盘水市钟山区人民法院</t>
        </is>
      </c>
      <c r="L41" s="30" t="n">
        <v>102.91</v>
      </c>
      <c r="M41" s="33">
        <f>IF(AND(ISNUMBER(N41),ISNUMBER(L41),L41&gt;0),ROUND(N41/L41,2),"")</f>
        <v/>
      </c>
      <c r="N41" s="49" t="n">
        <v>1178285</v>
      </c>
      <c r="O41" s="49" t="n">
        <v>1240300</v>
      </c>
      <c r="P41" s="38">
        <f>IF(AND(ISNUMBER(N41),ISNUMBER(O41),O41&gt;0),N41/O41,"")</f>
        <v/>
      </c>
      <c r="Q41" s="44" t="n">
        <v>0</v>
      </c>
      <c r="R41" s="44" t="n">
        <v>0</v>
      </c>
      <c r="S41" s="20" t="inlineStr">
        <is>
          <t>40</t>
        </is>
      </c>
      <c r="T41" s="20" t="inlineStr">
        <is>
          <t>https://paimai.jd.com/112307050</t>
        </is>
      </c>
    </row>
    <row r="42">
      <c r="A42" s="13" t="inlineStr">
        <is>
          <t>福建省</t>
        </is>
      </c>
      <c r="B42" s="13" t="inlineStr">
        <is>
          <t>福州市</t>
        </is>
      </c>
      <c r="C42" s="13" t="inlineStr">
        <is>
          <t>连江县</t>
        </is>
      </c>
      <c r="D42" s="13" t="inlineStr">
        <is>
          <t>潘渡乡沿江大道1号贵安新天地海峡传统文化街8#楼10店面</t>
        </is>
      </c>
      <c r="E42" s="13" t="inlineStr">
        <is>
          <t>贵安新天地海峡传统文化街</t>
        </is>
      </c>
      <c r="F42" s="13" t="inlineStr">
        <is>
          <t>工业</t>
        </is>
      </c>
      <c r="G42" s="13" t="inlineStr">
        <is>
          <t>京东拍卖</t>
        </is>
      </c>
      <c r="H42" s="13" t="inlineStr">
        <is>
          <t>二拍</t>
        </is>
      </c>
      <c r="I42" s="48" t="n">
        <v>43814.41666666666</v>
      </c>
      <c r="J42" s="13" t="inlineStr">
        <is>
          <t>否</t>
        </is>
      </c>
      <c r="K42" s="13" t="inlineStr">
        <is>
          <t>六盘水市钟山区人民法院</t>
        </is>
      </c>
      <c r="L42" s="30" t="n">
        <v>100.22</v>
      </c>
      <c r="M42" s="33">
        <f>IF(AND(ISNUMBER(N42),ISNUMBER(L42),L42&gt;0),ROUND(N42/L42,2),"")</f>
        <v/>
      </c>
      <c r="N42" s="49" t="n">
        <v>1172110</v>
      </c>
      <c r="O42" s="49" t="n">
        <v>1233800</v>
      </c>
      <c r="P42" s="38">
        <f>IF(AND(ISNUMBER(N42),ISNUMBER(O42),O42&gt;0),N42/O42,"")</f>
        <v/>
      </c>
      <c r="Q42" s="44" t="n">
        <v>0</v>
      </c>
      <c r="R42" s="44" t="n">
        <v>0</v>
      </c>
      <c r="S42" s="20" t="inlineStr">
        <is>
          <t>40</t>
        </is>
      </c>
      <c r="T42" s="20" t="inlineStr">
        <is>
          <t>https://paimai.jd.com/112307056</t>
        </is>
      </c>
    </row>
    <row r="43">
      <c r="A43" s="13" t="inlineStr">
        <is>
          <t>福建省</t>
        </is>
      </c>
      <c r="B43" s="13" t="inlineStr">
        <is>
          <t>福州市</t>
        </is>
      </c>
      <c r="C43" s="13" t="inlineStr">
        <is>
          <t>连江县</t>
        </is>
      </c>
      <c r="D43" s="13" t="inlineStr">
        <is>
          <t>潘渡乡沿江大道1号贵安新天地海峡传统文化街8#楼11店面</t>
        </is>
      </c>
      <c r="E43" s="13" t="inlineStr">
        <is>
          <t>贵安新天地海峡传统文化街</t>
        </is>
      </c>
      <c r="F43" s="13" t="inlineStr">
        <is>
          <t>工业</t>
        </is>
      </c>
      <c r="G43" s="13" t="inlineStr">
        <is>
          <t>京东拍卖</t>
        </is>
      </c>
      <c r="H43" s="13" t="inlineStr">
        <is>
          <t>二拍</t>
        </is>
      </c>
      <c r="I43" s="48" t="n">
        <v>43814.41666666666</v>
      </c>
      <c r="J43" s="13" t="inlineStr">
        <is>
          <t>否</t>
        </is>
      </c>
      <c r="K43" s="13" t="inlineStr">
        <is>
          <t>六盘水市钟山区人民法院</t>
        </is>
      </c>
      <c r="L43" s="30" t="n">
        <v>56.99</v>
      </c>
      <c r="M43" s="33">
        <f>IF(AND(ISNUMBER(N43),ISNUMBER(L43),L43&gt;0),ROUND(N43/L43,2),"")</f>
        <v/>
      </c>
      <c r="N43" s="49" t="n">
        <v>857090</v>
      </c>
      <c r="O43" s="49" t="n">
        <v>902200</v>
      </c>
      <c r="P43" s="38">
        <f>IF(AND(ISNUMBER(N43),ISNUMBER(O43),O43&gt;0),N43/O43,"")</f>
        <v/>
      </c>
      <c r="Q43" s="44" t="n">
        <v>0</v>
      </c>
      <c r="R43" s="44" t="n">
        <v>0</v>
      </c>
      <c r="S43" s="20" t="inlineStr">
        <is>
          <t>40</t>
        </is>
      </c>
      <c r="T43" s="20" t="inlineStr">
        <is>
          <t>https://paimai.jd.com/112307058</t>
        </is>
      </c>
    </row>
    <row r="44">
      <c r="A44" s="13" t="inlineStr">
        <is>
          <t>福建省</t>
        </is>
      </c>
      <c r="B44" s="13" t="inlineStr">
        <is>
          <t>福州市</t>
        </is>
      </c>
      <c r="C44" s="13" t="inlineStr">
        <is>
          <t>连江县</t>
        </is>
      </c>
      <c r="D44" s="13" t="inlineStr">
        <is>
          <t>潘渡乡沿江大道1号贵安新天地海峡传统文化街8#楼10店面</t>
        </is>
      </c>
      <c r="E44" s="13" t="inlineStr">
        <is>
          <t>贵安新天地海峡传统文化街</t>
        </is>
      </c>
      <c r="F44" s="13" t="inlineStr">
        <is>
          <t>工业</t>
        </is>
      </c>
      <c r="G44" s="13" t="inlineStr">
        <is>
          <t>京东拍卖</t>
        </is>
      </c>
      <c r="H44" s="13" t="inlineStr">
        <is>
          <t>一拍</t>
        </is>
      </c>
      <c r="I44" s="48" t="n">
        <v>43782.41666666666</v>
      </c>
      <c r="J44" s="13" t="inlineStr">
        <is>
          <t>否</t>
        </is>
      </c>
      <c r="K44" s="13" t="inlineStr">
        <is>
          <t>六盘水市钟山区人民法院</t>
        </is>
      </c>
      <c r="L44" s="30" t="n">
        <v>100.22</v>
      </c>
      <c r="M44" s="33">
        <f>IF(AND(ISNUMBER(N44),ISNUMBER(L44),L44&gt;0),ROUND(N44/L44,2),"")</f>
        <v/>
      </c>
      <c r="N44" s="49" t="n">
        <v>1233800</v>
      </c>
      <c r="O44" s="49" t="n">
        <v>1233800</v>
      </c>
      <c r="P44" s="38">
        <f>IF(AND(ISNUMBER(N44),ISNUMBER(O44),O44&gt;0),N44/O44,"")</f>
        <v/>
      </c>
      <c r="Q44" s="44" t="n">
        <v>0</v>
      </c>
      <c r="R44" s="44" t="n">
        <v>0</v>
      </c>
      <c r="S44" s="20" t="inlineStr">
        <is>
          <t>40</t>
        </is>
      </c>
      <c r="T44" s="20" t="inlineStr">
        <is>
          <t>https://paimai.jd.com/111595795</t>
        </is>
      </c>
    </row>
    <row r="45">
      <c r="A45" s="13" t="inlineStr">
        <is>
          <t>福建省</t>
        </is>
      </c>
      <c r="B45" s="13" t="inlineStr">
        <is>
          <t>福州市</t>
        </is>
      </c>
      <c r="C45" s="13" t="inlineStr">
        <is>
          <t>连江县</t>
        </is>
      </c>
      <c r="D45" s="13" t="inlineStr">
        <is>
          <t>潘渡乡沿江大道1号贵安新天地海峡传统文化街19#楼14店面</t>
        </is>
      </c>
      <c r="E45" s="13" t="inlineStr">
        <is>
          <t>贵安新天地海峡传统文化街</t>
        </is>
      </c>
      <c r="F45" s="13" t="inlineStr">
        <is>
          <t>工业</t>
        </is>
      </c>
      <c r="G45" s="13" t="inlineStr">
        <is>
          <t>京东拍卖</t>
        </is>
      </c>
      <c r="H45" s="13" t="inlineStr">
        <is>
          <t>一拍</t>
        </is>
      </c>
      <c r="I45" s="48" t="n">
        <v>43782.41666666666</v>
      </c>
      <c r="J45" s="13" t="inlineStr">
        <is>
          <t>否</t>
        </is>
      </c>
      <c r="K45" s="13" t="inlineStr">
        <is>
          <t>六盘水市钟山区人民法院</t>
        </is>
      </c>
      <c r="L45" s="30" t="n">
        <v>102.91</v>
      </c>
      <c r="M45" s="33">
        <f>IF(AND(ISNUMBER(N45),ISNUMBER(L45),L45&gt;0),ROUND(N45/L45,2),"")</f>
        <v/>
      </c>
      <c r="N45" s="49" t="n">
        <v>1240300</v>
      </c>
      <c r="O45" s="49" t="n">
        <v>1240300</v>
      </c>
      <c r="P45" s="38">
        <f>IF(AND(ISNUMBER(N45),ISNUMBER(O45),O45&gt;0),N45/O45,"")</f>
        <v/>
      </c>
      <c r="Q45" s="44" t="n">
        <v>0</v>
      </c>
      <c r="R45" s="44" t="n">
        <v>0</v>
      </c>
      <c r="S45" s="20" t="inlineStr">
        <is>
          <t>40</t>
        </is>
      </c>
      <c r="T45" s="20" t="inlineStr">
        <is>
          <t>https://paimai.jd.com/111595807</t>
        </is>
      </c>
    </row>
    <row r="46">
      <c r="A46" s="13" t="inlineStr">
        <is>
          <t>福建省</t>
        </is>
      </c>
      <c r="B46" s="13" t="inlineStr">
        <is>
          <t>福州市</t>
        </is>
      </c>
      <c r="C46" s="13" t="inlineStr">
        <is>
          <t>连江县</t>
        </is>
      </c>
      <c r="D46" s="13" t="inlineStr">
        <is>
          <t>潘渡乡沿江大道1号贵安新天地海峡传统文化街8#楼11店面</t>
        </is>
      </c>
      <c r="E46" s="13" t="inlineStr">
        <is>
          <t>贵安新天地海峡传统文化街</t>
        </is>
      </c>
      <c r="F46" s="13" t="inlineStr">
        <is>
          <t>工业</t>
        </is>
      </c>
      <c r="G46" s="13" t="inlineStr">
        <is>
          <t>京东拍卖</t>
        </is>
      </c>
      <c r="H46" s="13" t="inlineStr">
        <is>
          <t>一拍</t>
        </is>
      </c>
      <c r="I46" s="48" t="n">
        <v>43782.41666666666</v>
      </c>
      <c r="J46" s="13" t="inlineStr">
        <is>
          <t>否</t>
        </is>
      </c>
      <c r="K46" s="13" t="inlineStr">
        <is>
          <t>六盘水市钟山区人民法院</t>
        </is>
      </c>
      <c r="L46" s="30" t="n">
        <v>56.99</v>
      </c>
      <c r="M46" s="33">
        <f>IF(AND(ISNUMBER(N46),ISNUMBER(L46),L46&gt;0),ROUND(N46/L46,2),"")</f>
        <v/>
      </c>
      <c r="N46" s="49" t="n">
        <v>902200</v>
      </c>
      <c r="O46" s="49" t="n">
        <v>902200</v>
      </c>
      <c r="P46" s="38">
        <f>IF(AND(ISNUMBER(N46),ISNUMBER(O46),O46&gt;0),N46/O46,"")</f>
        <v/>
      </c>
      <c r="Q46" s="44" t="n">
        <v>0</v>
      </c>
      <c r="R46" s="44" t="n">
        <v>0</v>
      </c>
      <c r="S46" s="20" t="inlineStr">
        <is>
          <t>40</t>
        </is>
      </c>
      <c r="T46" s="20" t="inlineStr">
        <is>
          <t>https://paimai.jd.com/111595809</t>
        </is>
      </c>
    </row>
    <row r="47">
      <c r="A47" s="13" t="inlineStr">
        <is>
          <t>福建省</t>
        </is>
      </c>
      <c r="B47" s="13" t="inlineStr">
        <is>
          <t>福州市</t>
        </is>
      </c>
      <c r="C47" s="13" t="inlineStr">
        <is>
          <t>连江县</t>
        </is>
      </c>
      <c r="D47" s="13" t="inlineStr">
        <is>
          <t>青芝大道2号青芝凤凰城1#楼10层10A单元</t>
        </is>
      </c>
      <c r="E47" s="13" t="inlineStr">
        <is>
          <t>凤凰城</t>
        </is>
      </c>
      <c r="F47" s="13" t="inlineStr">
        <is>
          <t>住宅</t>
        </is>
      </c>
      <c r="G47" s="13" t="inlineStr">
        <is>
          <t>京东拍卖</t>
        </is>
      </c>
      <c r="H47" s="13" t="inlineStr">
        <is>
          <t>一拍</t>
        </is>
      </c>
      <c r="I47" s="48" t="n">
        <v>43780.41666666666</v>
      </c>
      <c r="J47" s="13" t="inlineStr">
        <is>
          <t>否</t>
        </is>
      </c>
      <c r="K47" s="13" t="inlineStr">
        <is>
          <t>连江县人民法院</t>
        </is>
      </c>
      <c r="L47" s="30" t="n">
        <v>160.69</v>
      </c>
      <c r="M47" s="33">
        <f>IF(AND(ISNUMBER(N47),ISNUMBER(L47),L47&gt;0),ROUND(N47/L47,2),"")</f>
        <v/>
      </c>
      <c r="N47" s="49" t="n">
        <v>1100000</v>
      </c>
      <c r="O47" s="49" t="n">
        <v>1100000</v>
      </c>
      <c r="P47" s="38">
        <f>IF(AND(ISNUMBER(N47),ISNUMBER(O47),O47&gt;0),N47/O47,"")</f>
        <v/>
      </c>
      <c r="Q47" s="44" t="n">
        <v>0</v>
      </c>
      <c r="R47" s="44" t="n">
        <v>0</v>
      </c>
      <c r="S47" s="20" t="inlineStr">
        <is>
          <t>40</t>
        </is>
      </c>
      <c r="T47" s="20" t="inlineStr">
        <is>
          <t>https://paimai.jd.com/111564136</t>
        </is>
      </c>
    </row>
    <row r="48">
      <c r="A48" s="13" t="inlineStr">
        <is>
          <t>福建省</t>
        </is>
      </c>
      <c r="B48" s="13" t="inlineStr">
        <is>
          <t>福州市</t>
        </is>
      </c>
      <c r="C48" s="13" t="inlineStr">
        <is>
          <t>连江县</t>
        </is>
      </c>
      <c r="D48" s="13" t="inlineStr">
        <is>
          <t>凤城镇文汇路3号凤翔名仕3号楼603室房地产</t>
        </is>
      </c>
      <c r="E48" s="13" t="inlineStr">
        <is>
          <t>凤翔名仕</t>
        </is>
      </c>
      <c r="F48" s="13" t="inlineStr">
        <is>
          <t>住宅</t>
        </is>
      </c>
      <c r="G48" s="13" t="inlineStr">
        <is>
          <t>京东拍卖</t>
        </is>
      </c>
      <c r="H48" s="13" t="inlineStr">
        <is>
          <t>一拍</t>
        </is>
      </c>
      <c r="I48" s="48" t="n">
        <v>43674.41666666666</v>
      </c>
      <c r="J48" s="13" t="inlineStr">
        <is>
          <t>否</t>
        </is>
      </c>
      <c r="K48" s="13" t="inlineStr">
        <is>
          <t>宁德市蕉城区人民法院</t>
        </is>
      </c>
      <c r="L48" s="30" t="n">
        <v>156.91</v>
      </c>
      <c r="M48" s="33">
        <f>IF(AND(ISNUMBER(N48),ISNUMBER(L48),L48&gt;0),ROUND(N48/L48,2),"")</f>
        <v/>
      </c>
      <c r="N48" s="49" t="n">
        <v>2000000</v>
      </c>
      <c r="O48" s="49" t="n">
        <v>2844300</v>
      </c>
      <c r="P48" s="38">
        <f>IF(AND(ISNUMBER(N48),ISNUMBER(O48),O48&gt;0),N48/O48,"")</f>
        <v/>
      </c>
      <c r="Q48" s="44" t="n">
        <v>0</v>
      </c>
      <c r="R48" s="44" t="n">
        <v>0</v>
      </c>
      <c r="S48" s="20" t="inlineStr">
        <is>
          <t>40</t>
        </is>
      </c>
      <c r="T48" s="20" t="inlineStr">
        <is>
          <t>https://paimai.jd.com/110065832</t>
        </is>
      </c>
    </row>
    <row r="49">
      <c r="A49" s="13" t="inlineStr">
        <is>
          <t>福建省</t>
        </is>
      </c>
      <c r="B49" s="13" t="inlineStr">
        <is>
          <t>福州市</t>
        </is>
      </c>
      <c r="C49" s="13" t="inlineStr">
        <is>
          <t>闽侯县</t>
        </is>
      </c>
      <c r="D49" s="13" t="inlineStr">
        <is>
          <t>南屿镇乌龙江南大道58-1号南屿滨江城二期（现：阳光城翡丽湾小区）98#楼301单元</t>
        </is>
      </c>
      <c r="E49" s="13" t="inlineStr">
        <is>
          <t>南屿滨江城</t>
        </is>
      </c>
      <c r="F49" s="13" t="inlineStr">
        <is>
          <t>住宅</t>
        </is>
      </c>
      <c r="G49" s="13" t="inlineStr">
        <is>
          <t>京东拍卖</t>
        </is>
      </c>
      <c r="H49" s="13" t="inlineStr">
        <is>
          <t>二拍</t>
        </is>
      </c>
      <c r="I49" s="48" t="n">
        <v>46260.41666666666</v>
      </c>
      <c r="J49" s="13" t="inlineStr">
        <is>
          <t>否</t>
        </is>
      </c>
      <c r="K49" s="13" t="inlineStr">
        <is>
          <t>福州市鼓楼区人民法院</t>
        </is>
      </c>
      <c r="L49" s="30" t="n">
        <v>121.47</v>
      </c>
      <c r="M49" s="33">
        <f>IF(AND(ISNUMBER(N49),ISNUMBER(L49),L49&gt;0),ROUND(N49/L49,2),"")</f>
        <v/>
      </c>
      <c r="N49" s="49" t="n">
        <v>1032000</v>
      </c>
      <c r="O49" s="49" t="n">
        <v>1830473.95</v>
      </c>
      <c r="P49" s="38">
        <f>IF(AND(ISNUMBER(N49),ISNUMBER(O49),O49&gt;0),N49/O49,"")</f>
        <v/>
      </c>
      <c r="Q49" s="44" t="n">
        <v>0</v>
      </c>
      <c r="R49" s="44" t="n">
        <v>0</v>
      </c>
      <c r="S49" s="20" t="inlineStr">
        <is>
          <t>40</t>
        </is>
      </c>
      <c r="T49" s="20" t="inlineStr">
        <is>
          <t>https://paimai.jd.com/311050699</t>
        </is>
      </c>
    </row>
    <row r="50">
      <c r="A50" s="13" t="inlineStr">
        <is>
          <t>福建省</t>
        </is>
      </c>
      <c r="B50" s="13" t="inlineStr">
        <is>
          <t>福州市</t>
        </is>
      </c>
      <c r="C50" s="13" t="inlineStr">
        <is>
          <t>平潭县</t>
        </is>
      </c>
      <c r="D50" s="13" t="inlineStr">
        <is>
          <t>潭城镇政府路15号泰元花园梅花1幢6D室</t>
        </is>
      </c>
      <c r="E50" s="13" t="inlineStr">
        <is>
          <t>政府</t>
        </is>
      </c>
      <c r="F50" s="13" t="inlineStr">
        <is>
          <t>住宅</t>
        </is>
      </c>
      <c r="G50" s="13" t="inlineStr">
        <is>
          <t>京东拍卖</t>
        </is>
      </c>
      <c r="H50" s="13" t="inlineStr">
        <is>
          <t>一拍</t>
        </is>
      </c>
      <c r="I50" s="48" t="n">
        <v>46260.41666666666</v>
      </c>
      <c r="J50" s="13" t="inlineStr">
        <is>
          <t>否</t>
        </is>
      </c>
      <c r="K50" s="13" t="inlineStr">
        <is>
          <t>平潭县人民法院</t>
        </is>
      </c>
      <c r="L50" s="30" t="n">
        <v>95.42</v>
      </c>
      <c r="M50" s="33">
        <f>IF(AND(ISNUMBER(N50),ISNUMBER(L50),L50&gt;0),ROUND(N50/L50,2),"")</f>
        <v/>
      </c>
      <c r="N50" s="49" t="n">
        <v>459389</v>
      </c>
      <c r="O50" s="49" t="n">
        <v>510432.04</v>
      </c>
      <c r="P50" s="38">
        <f>IF(AND(ISNUMBER(N50),ISNUMBER(O50),O50&gt;0),N50/O50,"")</f>
        <v/>
      </c>
      <c r="Q50" s="44" t="n">
        <v>0</v>
      </c>
      <c r="R50" s="44" t="n">
        <v>0</v>
      </c>
      <c r="S50" s="20" t="inlineStr">
        <is>
          <t>40</t>
        </is>
      </c>
      <c r="T50" s="20" t="inlineStr">
        <is>
          <t>https://paimai.jd.com/311004181</t>
        </is>
      </c>
    </row>
    <row r="51">
      <c r="A51" s="13" t="inlineStr">
        <is>
          <t>福建省</t>
        </is>
      </c>
      <c r="B51" s="13" t="inlineStr">
        <is>
          <t>福州市</t>
        </is>
      </c>
      <c r="C51" s="13" t="inlineStr">
        <is>
          <t>台江区</t>
        </is>
      </c>
      <c r="D51" s="13" t="inlineStr">
        <is>
          <t>鳌峰街道曙光路132号申发大厦12层04办公</t>
        </is>
      </c>
      <c r="E51" s="13" t="inlineStr">
        <is>
          <t>申发大厦</t>
        </is>
      </c>
      <c r="F51" s="13" t="inlineStr">
        <is>
          <t>工业</t>
        </is>
      </c>
      <c r="G51" s="13" t="inlineStr">
        <is>
          <t>京东拍卖</t>
        </is>
      </c>
      <c r="H51" s="13" t="inlineStr">
        <is>
          <t>一拍</t>
        </is>
      </c>
      <c r="I51" s="48" t="n">
        <v>43510.41666666666</v>
      </c>
      <c r="J51" s="13" t="inlineStr">
        <is>
          <t>否</t>
        </is>
      </c>
      <c r="K51" s="13" t="inlineStr">
        <is>
          <t>隆尧县人民法院</t>
        </is>
      </c>
      <c r="L51" s="30" t="n">
        <v>148.12</v>
      </c>
      <c r="M51" s="33">
        <f>IF(AND(ISNUMBER(N51),ISNUMBER(L51),L51&gt;0),ROUND(N51/L51,2),"")</f>
        <v/>
      </c>
      <c r="N51" s="49" t="n">
        <v>2221800</v>
      </c>
      <c r="O51" s="49" t="n">
        <v>2221800</v>
      </c>
      <c r="P51" s="38">
        <f>IF(AND(ISNUMBER(N51),ISNUMBER(O51),O51&gt;0),N51/O51,"")</f>
        <v/>
      </c>
      <c r="Q51" s="44" t="n">
        <v>0</v>
      </c>
      <c r="R51" s="44" t="n">
        <v>0</v>
      </c>
      <c r="S51" s="20" t="inlineStr">
        <is>
          <t>40</t>
        </is>
      </c>
      <c r="T51" s="20" t="inlineStr">
        <is>
          <t>https://paimai.jd.com/108147132</t>
        </is>
      </c>
    </row>
    <row r="52">
      <c r="A52" s="13" t="inlineStr">
        <is>
          <t>福建省</t>
        </is>
      </c>
      <c r="B52" s="13" t="inlineStr">
        <is>
          <t>福州市</t>
        </is>
      </c>
      <c r="C52" s="13" t="inlineStr">
        <is>
          <t>台江区</t>
        </is>
      </c>
      <c r="D52" s="13" t="inlineStr">
        <is>
          <t>茶亭街道儿童公园路99号世茂茶亭俪园2#楼204单元房地产</t>
        </is>
      </c>
      <c r="E52" s="13" t="inlineStr">
        <is>
          <t>儿童公园</t>
        </is>
      </c>
      <c r="F52" s="13" t="inlineStr">
        <is>
          <t>住宅</t>
        </is>
      </c>
      <c r="G52" s="13" t="inlineStr">
        <is>
          <t>京东拍卖</t>
        </is>
      </c>
      <c r="H52" s="13" t="inlineStr">
        <is>
          <t>一拍</t>
        </is>
      </c>
      <c r="I52" s="48" t="n">
        <v>43464.41666666666</v>
      </c>
      <c r="J52" s="13" t="inlineStr">
        <is>
          <t>否</t>
        </is>
      </c>
      <c r="K52" s="13" t="inlineStr">
        <is>
          <t>东莞市第一人民法院</t>
        </is>
      </c>
      <c r="L52" s="30" t="n">
        <v>197.29</v>
      </c>
      <c r="M52" s="33">
        <f>IF(AND(ISNUMBER(N52),ISNUMBER(L52),L52&gt;0),ROUND(N52/L52,2),"")</f>
        <v/>
      </c>
      <c r="N52" s="49" t="n">
        <v>4253580</v>
      </c>
      <c r="O52" s="49" t="n">
        <v>6076532</v>
      </c>
      <c r="P52" s="38">
        <f>IF(AND(ISNUMBER(N52),ISNUMBER(O52),O52&gt;0),N52/O52,"")</f>
        <v/>
      </c>
      <c r="Q52" s="44" t="n">
        <v>0</v>
      </c>
      <c r="R52" s="44" t="n">
        <v>0</v>
      </c>
      <c r="S52" s="20" t="inlineStr">
        <is>
          <t>40</t>
        </is>
      </c>
      <c r="T52" s="20" t="inlineStr">
        <is>
          <t>https://paimai.jd.com/107624802</t>
        </is>
      </c>
    </row>
    <row r="53">
      <c r="A53" s="13" t="inlineStr">
        <is>
          <t>福建省</t>
        </is>
      </c>
      <c r="B53" s="13" t="inlineStr">
        <is>
          <t>福州市</t>
        </is>
      </c>
      <c r="C53" s="13" t="inlineStr">
        <is>
          <t>台江区</t>
        </is>
      </c>
      <c r="D53" s="13" t="inlineStr">
        <is>
          <t>茶亭街道群众路190号帝登花园3#楼703单元住宅用房</t>
        </is>
      </c>
      <c r="E53" s="13" t="inlineStr">
        <is>
          <t>帝登花园</t>
        </is>
      </c>
      <c r="F53" s="13" t="inlineStr">
        <is>
          <t>住宅</t>
        </is>
      </c>
      <c r="G53" s="13" t="inlineStr">
        <is>
          <t>京东拍卖</t>
        </is>
      </c>
      <c r="H53" s="13" t="inlineStr">
        <is>
          <t>一拍</t>
        </is>
      </c>
      <c r="I53" s="48" t="n">
        <v>43121.41666666666</v>
      </c>
      <c r="J53" s="13" t="inlineStr">
        <is>
          <t>否</t>
        </is>
      </c>
      <c r="K53" s="13" t="inlineStr">
        <is>
          <t>四川省成都市中级人民法院</t>
        </is>
      </c>
      <c r="L53" s="30" t="n">
        <v>124.76</v>
      </c>
      <c r="M53" s="33">
        <f>IF(AND(ISNUMBER(N53),ISNUMBER(L53),L53&gt;0),ROUND(N53/L53,2),"")</f>
        <v/>
      </c>
      <c r="N53" s="49" t="n">
        <v>3664700</v>
      </c>
      <c r="O53" s="49" t="n">
        <v>3664700</v>
      </c>
      <c r="P53" s="38">
        <f>IF(AND(ISNUMBER(N53),ISNUMBER(O53),O53&gt;0),N53/O53,"")</f>
        <v/>
      </c>
      <c r="Q53" s="44" t="n">
        <v>0</v>
      </c>
      <c r="R53" s="44" t="n">
        <v>0</v>
      </c>
      <c r="S53" s="20" t="inlineStr">
        <is>
          <t>40</t>
        </is>
      </c>
      <c r="T53" s="20" t="inlineStr">
        <is>
          <t>https://paimai.jd.com/104633200</t>
        </is>
      </c>
    </row>
    <row r="54">
      <c r="A54" s="13" t="inlineStr">
        <is>
          <t>福建省</t>
        </is>
      </c>
      <c r="B54" s="13" t="inlineStr">
        <is>
          <t>泉州市</t>
        </is>
      </c>
      <c r="C54" s="13" t="inlineStr">
        <is>
          <t>丰泽区</t>
        </is>
      </c>
      <c r="D54" s="13" t="inlineStr">
        <is>
          <t>宝洲花苑1#-306号住宅及45号储藏间</t>
        </is>
      </c>
      <c r="E54" s="13" t="inlineStr">
        <is>
          <t>宝洲花苑</t>
        </is>
      </c>
      <c r="F54" s="13" t="inlineStr">
        <is>
          <t>住宅</t>
        </is>
      </c>
      <c r="G54" s="13" t="inlineStr">
        <is>
          <t>京东拍卖</t>
        </is>
      </c>
      <c r="H54" s="13" t="inlineStr">
        <is>
          <t>二拍</t>
        </is>
      </c>
      <c r="I54" s="48" t="n">
        <v>46261.41666666666</v>
      </c>
      <c r="J54" s="13" t="inlineStr">
        <is>
          <t>否</t>
        </is>
      </c>
      <c r="K54" s="13" t="inlineStr">
        <is>
          <t>泉州市丰泽区人民法院</t>
        </is>
      </c>
      <c r="L54" s="30" t="n">
        <v>168.28</v>
      </c>
      <c r="M54" s="33">
        <f>IF(AND(ISNUMBER(N54),ISNUMBER(L54),L54&gt;0),ROUND(N54/L54,2),"")</f>
        <v/>
      </c>
      <c r="N54" s="49" t="n">
        <v>912000</v>
      </c>
      <c r="O54" s="49" t="n">
        <v>1419000</v>
      </c>
      <c r="P54" s="38">
        <f>IF(AND(ISNUMBER(N54),ISNUMBER(O54),O54&gt;0),N54/O54,"")</f>
        <v/>
      </c>
      <c r="Q54" s="44" t="n">
        <v>0</v>
      </c>
      <c r="R54" s="44" t="n">
        <v>0</v>
      </c>
      <c r="S54" s="20" t="inlineStr">
        <is>
          <t>40</t>
        </is>
      </c>
      <c r="T54" s="20" t="inlineStr">
        <is>
          <t>https://paimai.jd.com/311084108</t>
        </is>
      </c>
    </row>
    <row r="55">
      <c r="A55" s="13" t="inlineStr">
        <is>
          <t>福建省</t>
        </is>
      </c>
      <c r="B55" s="13" t="inlineStr">
        <is>
          <t>泉州市</t>
        </is>
      </c>
      <c r="C55" s="13" t="inlineStr">
        <is>
          <t>晋江市</t>
        </is>
      </c>
      <c r="D55" s="13" t="inlineStr">
        <is>
          <t>梅岭街道世纪大道湖景花园5幢701室房产</t>
        </is>
      </c>
      <c r="E55" s="13" t="inlineStr">
        <is>
          <t>湖景花园</t>
        </is>
      </c>
      <c r="F55" s="13" t="inlineStr">
        <is>
          <t>住宅</t>
        </is>
      </c>
      <c r="G55" s="13" t="inlineStr">
        <is>
          <t>京东拍卖</t>
        </is>
      </c>
      <c r="H55" s="13" t="inlineStr">
        <is>
          <t>二拍</t>
        </is>
      </c>
      <c r="I55" s="48" t="n">
        <v>46261.41666666666</v>
      </c>
      <c r="J55" s="13" t="inlineStr">
        <is>
          <t>否</t>
        </is>
      </c>
      <c r="K55" s="13" t="inlineStr">
        <is>
          <t>泉州市丰泽区人民法院</t>
        </is>
      </c>
      <c r="L55" s="30" t="n">
        <v>154.99</v>
      </c>
      <c r="M55" s="33">
        <f>IF(AND(ISNUMBER(N55),ISNUMBER(L55),L55&gt;0),ROUND(N55/L55,2),"")</f>
        <v/>
      </c>
      <c r="N55" s="49" t="n">
        <v>885000</v>
      </c>
      <c r="O55" s="49" t="n">
        <v>1376200</v>
      </c>
      <c r="P55" s="38">
        <f>IF(AND(ISNUMBER(N55),ISNUMBER(O55),O55&gt;0),N55/O55,"")</f>
        <v/>
      </c>
      <c r="Q55" s="44" t="n">
        <v>0</v>
      </c>
      <c r="R55" s="44" t="n">
        <v>0</v>
      </c>
      <c r="S55" s="20" t="inlineStr">
        <is>
          <t>40</t>
        </is>
      </c>
      <c r="T55" s="20" t="inlineStr">
        <is>
          <t>https://paimai.jd.com/311084155</t>
        </is>
      </c>
    </row>
    <row r="56">
      <c r="A56" s="13" t="inlineStr">
        <is>
          <t>福建省</t>
        </is>
      </c>
      <c r="B56" s="13" t="inlineStr">
        <is>
          <t>泉州市</t>
        </is>
      </c>
      <c r="C56" s="13" t="inlineStr">
        <is>
          <t>晋江市</t>
        </is>
      </c>
      <c r="D56" s="13" t="inlineStr">
        <is>
          <t>青阳街道世纪大道518号宝龙广场国际公馆1幢1419住宅</t>
        </is>
      </c>
      <c r="E56" s="13" t="inlineStr">
        <is>
          <t>宝龙广场国际公馆</t>
        </is>
      </c>
      <c r="F56" s="13" t="inlineStr">
        <is>
          <t>住宅</t>
        </is>
      </c>
      <c r="G56" s="13" t="inlineStr">
        <is>
          <t>京东拍卖</t>
        </is>
      </c>
      <c r="H56" s="13" t="inlineStr">
        <is>
          <t>一拍</t>
        </is>
      </c>
      <c r="I56" s="48" t="n">
        <v>46260.41666666666</v>
      </c>
      <c r="J56" s="13" t="inlineStr">
        <is>
          <t>否</t>
        </is>
      </c>
      <c r="K56" s="13" t="inlineStr">
        <is>
          <t>晋江市人民法院</t>
        </is>
      </c>
      <c r="L56" s="30" t="n">
        <v>47.68</v>
      </c>
      <c r="M56" s="33">
        <f>IF(AND(ISNUMBER(N56),ISNUMBER(L56),L56&gt;0),ROUND(N56/L56,2),"")</f>
        <v/>
      </c>
      <c r="N56" s="49" t="n">
        <v>248384</v>
      </c>
      <c r="O56" s="49" t="n">
        <v>354833</v>
      </c>
      <c r="P56" s="38">
        <f>IF(AND(ISNUMBER(N56),ISNUMBER(O56),O56&gt;0),N56/O56,"")</f>
        <v/>
      </c>
      <c r="Q56" s="44" t="n">
        <v>0</v>
      </c>
      <c r="R56" s="44" t="n">
        <v>0</v>
      </c>
      <c r="S56" s="20" t="inlineStr">
        <is>
          <t>40</t>
        </is>
      </c>
      <c r="T56" s="20" t="inlineStr">
        <is>
          <t>https://paimai.jd.com/311008955</t>
        </is>
      </c>
    </row>
    <row r="57">
      <c r="A57" s="13" t="inlineStr">
        <is>
          <t>福建省</t>
        </is>
      </c>
      <c r="B57" s="13" t="inlineStr">
        <is>
          <t>泉州市</t>
        </is>
      </c>
      <c r="C57" s="13" t="inlineStr">
        <is>
          <t>洛江区</t>
        </is>
      </c>
      <c r="D57" s="13" t="inlineStr">
        <is>
          <t>双阳华侨经济开发区阳侨花园城2#楼1103室房产</t>
        </is>
      </c>
      <c r="E57" s="13" t="inlineStr">
        <is>
          <t>阳侨花园城</t>
        </is>
      </c>
      <c r="F57" s="13" t="inlineStr">
        <is>
          <t>住宅</t>
        </is>
      </c>
      <c r="G57" s="13" t="inlineStr">
        <is>
          <t>京东拍卖</t>
        </is>
      </c>
      <c r="H57" s="13" t="inlineStr">
        <is>
          <t>二拍</t>
        </is>
      </c>
      <c r="I57" s="48" t="n">
        <v>46261.41666666666</v>
      </c>
      <c r="J57" s="13" t="inlineStr">
        <is>
          <t>否</t>
        </is>
      </c>
      <c r="K57" s="13" t="inlineStr">
        <is>
          <t>泉州市丰泽区人民法院</t>
        </is>
      </c>
      <c r="L57" s="30" t="n">
        <v>162.2</v>
      </c>
      <c r="M57" s="33">
        <f>IF(AND(ISNUMBER(N57),ISNUMBER(L57),L57&gt;0),ROUND(N57/L57,2),"")</f>
        <v/>
      </c>
      <c r="N57" s="49" t="n">
        <v>620000</v>
      </c>
      <c r="O57" s="49" t="n">
        <v>959100</v>
      </c>
      <c r="P57" s="38">
        <f>IF(AND(ISNUMBER(N57),ISNUMBER(O57),O57&gt;0),N57/O57,"")</f>
        <v/>
      </c>
      <c r="Q57" s="44" t="n">
        <v>0</v>
      </c>
      <c r="R57" s="44" t="n">
        <v>0</v>
      </c>
      <c r="S57" s="20" t="inlineStr">
        <is>
          <t>40</t>
        </is>
      </c>
      <c r="T57" s="20" t="inlineStr">
        <is>
          <t>https://paimai.jd.com/311084238</t>
        </is>
      </c>
    </row>
    <row r="58">
      <c r="A58" s="13" t="inlineStr">
        <is>
          <t>福建省</t>
        </is>
      </c>
      <c r="B58" s="13" t="inlineStr">
        <is>
          <t>泉州市</t>
        </is>
      </c>
      <c r="C58" s="13" t="inlineStr">
        <is>
          <t>南安市</t>
        </is>
      </c>
      <c r="D58" s="13" t="inlineStr">
        <is>
          <t>梅山镇灯埔村尚林花苑1号楼802室的房产</t>
        </is>
      </c>
      <c r="E58" s="13" t="inlineStr">
        <is>
          <t>尚林花苑</t>
        </is>
      </c>
      <c r="F58" s="13" t="inlineStr">
        <is>
          <t>住宅</t>
        </is>
      </c>
      <c r="G58" s="13" t="inlineStr">
        <is>
          <t>京东拍卖</t>
        </is>
      </c>
      <c r="H58" s="13" t="inlineStr">
        <is>
          <t>一拍</t>
        </is>
      </c>
      <c r="I58" s="48" t="n">
        <v>46260.41666666666</v>
      </c>
      <c r="J58" s="13" t="inlineStr">
        <is>
          <t>否</t>
        </is>
      </c>
      <c r="K58" s="13" t="inlineStr">
        <is>
          <t>南安市人民法院</t>
        </is>
      </c>
      <c r="L58" s="30" t="n">
        <v>143.47</v>
      </c>
      <c r="M58" s="33">
        <f>IF(AND(ISNUMBER(N58),ISNUMBER(L58),L58&gt;0),ROUND(N58/L58,2),"")</f>
        <v/>
      </c>
      <c r="N58" s="49" t="n">
        <v>451931</v>
      </c>
      <c r="O58" s="49" t="n">
        <v>502145</v>
      </c>
      <c r="P58" s="38">
        <f>IF(AND(ISNUMBER(N58),ISNUMBER(O58),O58&gt;0),N58/O58,"")</f>
        <v/>
      </c>
      <c r="Q58" s="44" t="n">
        <v>0</v>
      </c>
      <c r="R58" s="44" t="n">
        <v>0</v>
      </c>
      <c r="S58" s="20" t="inlineStr">
        <is>
          <t>40</t>
        </is>
      </c>
      <c r="T58" s="20" t="inlineStr">
        <is>
          <t>https://paimai.jd.com/311009915</t>
        </is>
      </c>
    </row>
    <row r="59">
      <c r="A59" s="13" t="inlineStr">
        <is>
          <t>福建省</t>
        </is>
      </c>
      <c r="B59" s="13" t="inlineStr">
        <is>
          <t>泉州市</t>
        </is>
      </c>
      <c r="C59" s="13" t="inlineStr">
        <is>
          <t>泉港区</t>
        </is>
      </c>
      <c r="D59" s="13" t="inlineStr">
        <is>
          <t>泉二路东盛商城5栋601-701号房产</t>
        </is>
      </c>
      <c r="E59" s="13" t="inlineStr">
        <is>
          <t>东盛商城</t>
        </is>
      </c>
      <c r="F59" s="13" t="inlineStr">
        <is>
          <t>工业</t>
        </is>
      </c>
      <c r="G59" s="13" t="inlineStr">
        <is>
          <t>京东拍卖</t>
        </is>
      </c>
      <c r="H59" s="13" t="inlineStr">
        <is>
          <t>二拍</t>
        </is>
      </c>
      <c r="I59" s="48" t="n">
        <v>43121.41666666666</v>
      </c>
      <c r="J59" s="13" t="inlineStr">
        <is>
          <t>否</t>
        </is>
      </c>
      <c r="K59" s="13" t="inlineStr">
        <is>
          <t>四川省成都市中级人民法院</t>
        </is>
      </c>
      <c r="L59" s="30" t="n">
        <v>201</v>
      </c>
      <c r="M59" s="33">
        <f>IF(AND(ISNUMBER(N59),ISNUMBER(L59),L59&gt;0),ROUND(N59/L59,2),"")</f>
        <v/>
      </c>
      <c r="N59" s="49" t="n">
        <v>270000</v>
      </c>
      <c r="O59" s="49" t="n">
        <v>459300</v>
      </c>
      <c r="P59" s="38">
        <f>IF(AND(ISNUMBER(N59),ISNUMBER(O59),O59&gt;0),N59/O59,"")</f>
        <v/>
      </c>
      <c r="Q59" s="44" t="n">
        <v>0</v>
      </c>
      <c r="R59" s="44" t="n">
        <v>0</v>
      </c>
      <c r="S59" s="20" t="inlineStr">
        <is>
          <t>40</t>
        </is>
      </c>
      <c r="T59" s="20" t="inlineStr">
        <is>
          <t>https://paimai.jd.com/104774263</t>
        </is>
      </c>
    </row>
    <row r="60">
      <c r="A60" s="13" t="inlineStr">
        <is>
          <t>福建省</t>
        </is>
      </c>
      <c r="B60" s="13" t="inlineStr">
        <is>
          <t>泉州市</t>
        </is>
      </c>
      <c r="C60" s="13" t="inlineStr">
        <is>
          <t>泉港区</t>
        </is>
      </c>
      <c r="D60" s="13" t="inlineStr">
        <is>
          <t>泉二路东盛商城2栋605-705号房产</t>
        </is>
      </c>
      <c r="E60" s="13" t="inlineStr">
        <is>
          <t>东盛商城</t>
        </is>
      </c>
      <c r="F60" s="13" t="inlineStr">
        <is>
          <t>工业</t>
        </is>
      </c>
      <c r="G60" s="13" t="inlineStr">
        <is>
          <t>京东拍卖</t>
        </is>
      </c>
      <c r="H60" s="13" t="inlineStr">
        <is>
          <t>二拍</t>
        </is>
      </c>
      <c r="I60" s="48" t="n">
        <v>43121.41666666666</v>
      </c>
      <c r="J60" s="13" t="inlineStr">
        <is>
          <t>否</t>
        </is>
      </c>
      <c r="K60" s="13" t="inlineStr">
        <is>
          <t>四川省成都市中级人民法院</t>
        </is>
      </c>
      <c r="L60" s="30" t="n">
        <v>200.36</v>
      </c>
      <c r="M60" s="33">
        <f>IF(AND(ISNUMBER(N60),ISNUMBER(L60),L60&gt;0),ROUND(N60/L60,2),"")</f>
        <v/>
      </c>
      <c r="N60" s="49" t="n">
        <v>270000</v>
      </c>
      <c r="O60" s="49" t="n">
        <v>457800</v>
      </c>
      <c r="P60" s="38">
        <f>IF(AND(ISNUMBER(N60),ISNUMBER(O60),O60&gt;0),N60/O60,"")</f>
        <v/>
      </c>
      <c r="Q60" s="44" t="n">
        <v>0</v>
      </c>
      <c r="R60" s="44" t="n">
        <v>0</v>
      </c>
      <c r="S60" s="20" t="inlineStr">
        <is>
          <t>40</t>
        </is>
      </c>
      <c r="T60" s="20" t="inlineStr">
        <is>
          <t>https://paimai.jd.com/104774269</t>
        </is>
      </c>
    </row>
    <row r="61">
      <c r="A61" s="13" t="inlineStr">
        <is>
          <t>福建省</t>
        </is>
      </c>
      <c r="B61" s="13" t="inlineStr">
        <is>
          <t>泉州市</t>
        </is>
      </c>
      <c r="C61" s="13" t="inlineStr">
        <is>
          <t>泉港区</t>
        </is>
      </c>
      <c r="D61" s="13" t="inlineStr">
        <is>
          <t>泉二路东盛商城16栋603-703号房产</t>
        </is>
      </c>
      <c r="E61" s="13" t="inlineStr">
        <is>
          <t>东盛商城</t>
        </is>
      </c>
      <c r="F61" s="13" t="inlineStr">
        <is>
          <t>工业</t>
        </is>
      </c>
      <c r="G61" s="13" t="inlineStr">
        <is>
          <t>京东拍卖</t>
        </is>
      </c>
      <c r="H61" s="13" t="inlineStr">
        <is>
          <t>二拍</t>
        </is>
      </c>
      <c r="I61" s="48" t="n">
        <v>43121.41666666666</v>
      </c>
      <c r="J61" s="13" t="inlineStr">
        <is>
          <t>否</t>
        </is>
      </c>
      <c r="K61" s="13" t="inlineStr">
        <is>
          <t>四川省成都市中级人民法院</t>
        </is>
      </c>
      <c r="L61" s="30" t="n">
        <v>200.78</v>
      </c>
      <c r="M61" s="33">
        <f>IF(AND(ISNUMBER(N61),ISNUMBER(L61),L61&gt;0),ROUND(N61/L61,2),"")</f>
        <v/>
      </c>
      <c r="N61" s="49" t="n">
        <v>270000</v>
      </c>
      <c r="O61" s="49" t="n">
        <v>458800</v>
      </c>
      <c r="P61" s="38">
        <f>IF(AND(ISNUMBER(N61),ISNUMBER(O61),O61&gt;0),N61/O61,"")</f>
        <v/>
      </c>
      <c r="Q61" s="44" t="n">
        <v>0</v>
      </c>
      <c r="R61" s="44" t="n">
        <v>0</v>
      </c>
      <c r="S61" s="20" t="inlineStr">
        <is>
          <t>40</t>
        </is>
      </c>
      <c r="T61" s="20" t="inlineStr">
        <is>
          <t>https://paimai.jd.com/104774272</t>
        </is>
      </c>
    </row>
    <row r="62">
      <c r="A62" s="24" t="inlineStr">
        <is>
          <t>福建省</t>
        </is>
      </c>
      <c r="B62" s="24" t="inlineStr">
        <is>
          <t>泉州市</t>
        </is>
      </c>
      <c r="C62" s="24" t="inlineStr">
        <is>
          <t>泉港区</t>
        </is>
      </c>
      <c r="D62" s="24" t="inlineStr">
        <is>
          <t>泉二路东盛商城5栋602-702号房产</t>
        </is>
      </c>
      <c r="E62" s="24" t="inlineStr">
        <is>
          <t>东盛商城</t>
        </is>
      </c>
      <c r="F62" s="24" t="inlineStr">
        <is>
          <t>工业</t>
        </is>
      </c>
      <c r="G62" s="24" t="inlineStr">
        <is>
          <t>京东拍卖</t>
        </is>
      </c>
      <c r="H62" s="24" t="inlineStr">
        <is>
          <t>二拍</t>
        </is>
      </c>
      <c r="I62" s="50" t="n">
        <v>43121.41666666666</v>
      </c>
      <c r="J62" s="24" t="inlineStr">
        <is>
          <t>否</t>
        </is>
      </c>
      <c r="K62" s="24" t="inlineStr">
        <is>
          <t>四川省成都市中级人民法院</t>
        </is>
      </c>
      <c r="L62" s="51" t="n">
        <v>200.81</v>
      </c>
      <c r="M62" s="52">
        <f>IF(AND(ISNUMBER(N62),ISNUMBER(L62),L62&gt;0),ROUND(N62/L62,2),"")</f>
        <v/>
      </c>
      <c r="N62" s="53" t="n">
        <v>270000</v>
      </c>
      <c r="O62" s="53" t="n">
        <v>458900</v>
      </c>
      <c r="P62" s="54">
        <f>IF(AND(ISNUMBER(N62),ISNUMBER(O62),O62&gt;0),N62/O62,"")</f>
        <v/>
      </c>
      <c r="Q62" s="61" t="n">
        <v>0</v>
      </c>
      <c r="R62" s="61" t="n">
        <v>0</v>
      </c>
      <c r="S62" s="24" t="inlineStr">
        <is>
          <t>40</t>
        </is>
      </c>
      <c r="T62" s="24" t="inlineStr">
        <is>
          <t>https://paimai.jd.com/104774274</t>
        </is>
      </c>
    </row>
    <row r="63">
      <c r="A63" s="24" t="inlineStr">
        <is>
          <t>福建省</t>
        </is>
      </c>
      <c r="B63" s="24" t="inlineStr">
        <is>
          <t>泉州市</t>
        </is>
      </c>
      <c r="C63" s="24" t="inlineStr">
        <is>
          <t>泉港区</t>
        </is>
      </c>
      <c r="D63" s="24" t="inlineStr">
        <is>
          <t>泉二路东盛商城18栋603-703号房产</t>
        </is>
      </c>
      <c r="E63" s="24" t="inlineStr">
        <is>
          <t>东盛商城</t>
        </is>
      </c>
      <c r="F63" s="24" t="inlineStr">
        <is>
          <t>工业</t>
        </is>
      </c>
      <c r="G63" s="24" t="inlineStr">
        <is>
          <t>京东拍卖</t>
        </is>
      </c>
      <c r="H63" s="24" t="inlineStr">
        <is>
          <t>一拍</t>
        </is>
      </c>
      <c r="I63" s="50" t="n">
        <v>43103.41666666666</v>
      </c>
      <c r="J63" s="24" t="inlineStr">
        <is>
          <t>否</t>
        </is>
      </c>
      <c r="K63" s="24" t="inlineStr">
        <is>
          <t>四川省成都市中级人民法院</t>
        </is>
      </c>
      <c r="L63" s="51" t="n">
        <v>186.57</v>
      </c>
      <c r="M63" s="52">
        <f>IF(AND(ISNUMBER(N63),ISNUMBER(L63),L63&gt;0),ROUND(N63/L63,2),"")</f>
        <v/>
      </c>
      <c r="N63" s="53" t="n">
        <v>300000</v>
      </c>
      <c r="O63" s="53" t="n">
        <v>420900</v>
      </c>
      <c r="P63" s="54">
        <f>IF(AND(ISNUMBER(N63),ISNUMBER(O63),O63&gt;0),N63/O63,"")</f>
        <v/>
      </c>
      <c r="Q63" s="61" t="n">
        <v>0</v>
      </c>
      <c r="R63" s="61" t="n">
        <v>0</v>
      </c>
      <c r="S63" s="24" t="inlineStr">
        <is>
          <t>40</t>
        </is>
      </c>
      <c r="T63" s="24" t="inlineStr">
        <is>
          <t>https://paimai.jd.com/104482989</t>
        </is>
      </c>
    </row>
    <row r="64">
      <c r="A64" s="24" t="inlineStr">
        <is>
          <t>福建省</t>
        </is>
      </c>
      <c r="B64" s="24" t="inlineStr">
        <is>
          <t>泉州市</t>
        </is>
      </c>
      <c r="C64" s="24" t="inlineStr">
        <is>
          <t>泉港区</t>
        </is>
      </c>
      <c r="D64" s="24" t="inlineStr">
        <is>
          <t>泉二路东盛商城1栋611号房产</t>
        </is>
      </c>
      <c r="E64" s="24" t="inlineStr">
        <is>
          <t>东盛商城</t>
        </is>
      </c>
      <c r="F64" s="24" t="inlineStr">
        <is>
          <t>工业</t>
        </is>
      </c>
      <c r="G64" s="24" t="inlineStr">
        <is>
          <t>京东拍卖</t>
        </is>
      </c>
      <c r="H64" s="24" t="inlineStr">
        <is>
          <t>一拍</t>
        </is>
      </c>
      <c r="I64" s="50" t="n">
        <v>43103.41666666666</v>
      </c>
      <c r="J64" s="24" t="inlineStr">
        <is>
          <t>否</t>
        </is>
      </c>
      <c r="K64" s="24" t="inlineStr">
        <is>
          <t>四川省成都市中级人民法院</t>
        </is>
      </c>
      <c r="L64" s="51" t="n">
        <v>174.16</v>
      </c>
      <c r="M64" s="52">
        <f>IF(AND(ISNUMBER(N64),ISNUMBER(L64),L64&gt;0),ROUND(N64/L64,2),"")</f>
        <v/>
      </c>
      <c r="N64" s="53" t="n">
        <v>280000</v>
      </c>
      <c r="O64" s="53" t="n">
        <v>392900</v>
      </c>
      <c r="P64" s="54">
        <f>IF(AND(ISNUMBER(N64),ISNUMBER(O64),O64&gt;0),N64/O64,"")</f>
        <v/>
      </c>
      <c r="Q64" s="61" t="n">
        <v>0</v>
      </c>
      <c r="R64" s="61" t="n">
        <v>0</v>
      </c>
      <c r="S64" s="24" t="inlineStr">
        <is>
          <t>40</t>
        </is>
      </c>
      <c r="T64" s="24" t="inlineStr">
        <is>
          <t>https://paimai.jd.com/104482991</t>
        </is>
      </c>
    </row>
    <row r="65">
      <c r="A65" s="24" t="inlineStr">
        <is>
          <t>福建省</t>
        </is>
      </c>
      <c r="B65" s="24" t="inlineStr">
        <is>
          <t>泉州市</t>
        </is>
      </c>
      <c r="C65" s="24" t="inlineStr">
        <is>
          <t>泉港区</t>
        </is>
      </c>
      <c r="D65" s="24" t="inlineStr">
        <is>
          <t>泉二路东盛商城16栋601-701号房产</t>
        </is>
      </c>
      <c r="E65" s="24" t="inlineStr">
        <is>
          <t>东盛商城</t>
        </is>
      </c>
      <c r="F65" s="24" t="inlineStr">
        <is>
          <t>工业</t>
        </is>
      </c>
      <c r="G65" s="24" t="inlineStr">
        <is>
          <t>京东拍卖</t>
        </is>
      </c>
      <c r="H65" s="24" t="inlineStr">
        <is>
          <t>一拍</t>
        </is>
      </c>
      <c r="I65" s="50" t="n">
        <v>43103.41666666666</v>
      </c>
      <c r="J65" s="24" t="inlineStr">
        <is>
          <t>否</t>
        </is>
      </c>
      <c r="K65" s="24" t="inlineStr">
        <is>
          <t>四川省成都市中级人民法院</t>
        </is>
      </c>
      <c r="L65" s="51" t="n">
        <v>200.97</v>
      </c>
      <c r="M65" s="52">
        <f>IF(AND(ISNUMBER(N65),ISNUMBER(L65),L65&gt;0),ROUND(N65/L65,2),"")</f>
        <v/>
      </c>
      <c r="N65" s="53" t="n">
        <v>330000</v>
      </c>
      <c r="O65" s="53" t="n">
        <v>459200</v>
      </c>
      <c r="P65" s="54">
        <f>IF(AND(ISNUMBER(N65),ISNUMBER(O65),O65&gt;0),N65/O65,"")</f>
        <v/>
      </c>
      <c r="Q65" s="61" t="n">
        <v>0</v>
      </c>
      <c r="R65" s="61" t="n">
        <v>0</v>
      </c>
      <c r="S65" s="24" t="inlineStr">
        <is>
          <t>40</t>
        </is>
      </c>
      <c r="T65" s="24" t="inlineStr">
        <is>
          <t>https://paimai.jd.com/104482993</t>
        </is>
      </c>
    </row>
    <row r="66">
      <c r="A66" s="24" t="inlineStr">
        <is>
          <t>福建省</t>
        </is>
      </c>
      <c r="B66" s="24" t="inlineStr">
        <is>
          <t>泉州市</t>
        </is>
      </c>
      <c r="C66" s="24" t="inlineStr">
        <is>
          <t>泉港区</t>
        </is>
      </c>
      <c r="D66" s="24" t="inlineStr">
        <is>
          <t>泉二路东盛商城4A栋602-702号房产</t>
        </is>
      </c>
      <c r="E66" s="24" t="inlineStr">
        <is>
          <t>东盛商城</t>
        </is>
      </c>
      <c r="F66" s="24" t="inlineStr">
        <is>
          <t>工业</t>
        </is>
      </c>
      <c r="G66" s="24" t="inlineStr">
        <is>
          <t>京东拍卖</t>
        </is>
      </c>
      <c r="H66" s="24" t="inlineStr">
        <is>
          <t>一拍</t>
        </is>
      </c>
      <c r="I66" s="50" t="n">
        <v>43103.41666666666</v>
      </c>
      <c r="J66" s="24" t="inlineStr">
        <is>
          <t>否</t>
        </is>
      </c>
      <c r="K66" s="24" t="inlineStr">
        <is>
          <t>四川省成都市中级人民法院</t>
        </is>
      </c>
      <c r="L66" s="51" t="n">
        <v>203.1</v>
      </c>
      <c r="M66" s="52">
        <f>IF(AND(ISNUMBER(N66),ISNUMBER(L66),L66&gt;0),ROUND(N66/L66,2),"")</f>
        <v/>
      </c>
      <c r="N66" s="53" t="n">
        <v>330000</v>
      </c>
      <c r="O66" s="53" t="n">
        <v>464100</v>
      </c>
      <c r="P66" s="54">
        <f>IF(AND(ISNUMBER(N66),ISNUMBER(O66),O66&gt;0),N66/O66,"")</f>
        <v/>
      </c>
      <c r="Q66" s="61" t="n">
        <v>0</v>
      </c>
      <c r="R66" s="61" t="n">
        <v>0</v>
      </c>
      <c r="S66" s="24" t="inlineStr">
        <is>
          <t>40</t>
        </is>
      </c>
      <c r="T66" s="24" t="inlineStr">
        <is>
          <t>https://paimai.jd.com/104482994</t>
        </is>
      </c>
    </row>
    <row r="67">
      <c r="A67" s="24" t="inlineStr">
        <is>
          <t>福建省</t>
        </is>
      </c>
      <c r="B67" s="24" t="inlineStr">
        <is>
          <t>泉州市</t>
        </is>
      </c>
      <c r="C67" s="24" t="inlineStr">
        <is>
          <t>泉港区</t>
        </is>
      </c>
      <c r="D67" s="24" t="inlineStr">
        <is>
          <t>泉二路东盛商城2栋604-704号房产</t>
        </is>
      </c>
      <c r="E67" s="24" t="inlineStr">
        <is>
          <t>东盛商城</t>
        </is>
      </c>
      <c r="F67" s="24" t="inlineStr">
        <is>
          <t>工业</t>
        </is>
      </c>
      <c r="G67" s="24" t="inlineStr">
        <is>
          <t>京东拍卖</t>
        </is>
      </c>
      <c r="H67" s="24" t="inlineStr">
        <is>
          <t>一拍</t>
        </is>
      </c>
      <c r="I67" s="50" t="n">
        <v>43103.41666666666</v>
      </c>
      <c r="J67" s="24" t="inlineStr">
        <is>
          <t>否</t>
        </is>
      </c>
      <c r="K67" s="24" t="inlineStr">
        <is>
          <t>四川省成都市中级人民法院</t>
        </is>
      </c>
      <c r="L67" s="51" t="n">
        <v>200.36</v>
      </c>
      <c r="M67" s="52">
        <f>IF(AND(ISNUMBER(N67),ISNUMBER(L67),L67&gt;0),ROUND(N67/L67,2),"")</f>
        <v/>
      </c>
      <c r="N67" s="53" t="n">
        <v>330000</v>
      </c>
      <c r="O67" s="53" t="n">
        <v>457800</v>
      </c>
      <c r="P67" s="54">
        <f>IF(AND(ISNUMBER(N67),ISNUMBER(O67),O67&gt;0),N67/O67,"")</f>
        <v/>
      </c>
      <c r="Q67" s="61" t="n">
        <v>0</v>
      </c>
      <c r="R67" s="61" t="n">
        <v>0</v>
      </c>
      <c r="S67" s="24" t="inlineStr">
        <is>
          <t>40</t>
        </is>
      </c>
      <c r="T67" s="24" t="inlineStr">
        <is>
          <t>https://paimai.jd.com/104482996</t>
        </is>
      </c>
    </row>
    <row r="68">
      <c r="A68" s="24" t="inlineStr">
        <is>
          <t>福建省</t>
        </is>
      </c>
      <c r="B68" s="24" t="inlineStr">
        <is>
          <t>泉州市</t>
        </is>
      </c>
      <c r="C68" s="24" t="inlineStr">
        <is>
          <t>泉港区</t>
        </is>
      </c>
      <c r="D68" s="24" t="inlineStr">
        <is>
          <t>泉二路东盛商城1栋610号房产</t>
        </is>
      </c>
      <c r="E68" s="24" t="inlineStr">
        <is>
          <t>东盛商城</t>
        </is>
      </c>
      <c r="F68" s="24" t="inlineStr">
        <is>
          <t>工业</t>
        </is>
      </c>
      <c r="G68" s="24" t="inlineStr">
        <is>
          <t>京东拍卖</t>
        </is>
      </c>
      <c r="H68" s="24" t="inlineStr">
        <is>
          <t>一拍</t>
        </is>
      </c>
      <c r="I68" s="50" t="n">
        <v>43103.41666666666</v>
      </c>
      <c r="J68" s="24" t="inlineStr">
        <is>
          <t>否</t>
        </is>
      </c>
      <c r="K68" s="24" t="inlineStr">
        <is>
          <t>四川省成都市中级人民法院</t>
        </is>
      </c>
      <c r="L68" s="51" t="n">
        <v>174.16</v>
      </c>
      <c r="M68" s="52">
        <f>IF(AND(ISNUMBER(N68),ISNUMBER(L68),L68&gt;0),ROUND(N68/L68,2),"")</f>
        <v/>
      </c>
      <c r="N68" s="53" t="n">
        <v>280000</v>
      </c>
      <c r="O68" s="53" t="n">
        <v>392900</v>
      </c>
      <c r="P68" s="54">
        <f>IF(AND(ISNUMBER(N68),ISNUMBER(O68),O68&gt;0),N68/O68,"")</f>
        <v/>
      </c>
      <c r="Q68" s="61" t="n">
        <v>0</v>
      </c>
      <c r="R68" s="61" t="n">
        <v>0</v>
      </c>
      <c r="S68" s="24" t="inlineStr">
        <is>
          <t>40</t>
        </is>
      </c>
      <c r="T68" s="24" t="inlineStr">
        <is>
          <t>https://paimai.jd.com/104482997</t>
        </is>
      </c>
    </row>
    <row r="69">
      <c r="A69" s="24" t="inlineStr">
        <is>
          <t>福建省</t>
        </is>
      </c>
      <c r="B69" s="24" t="inlineStr">
        <is>
          <t>泉州市</t>
        </is>
      </c>
      <c r="C69" s="24" t="inlineStr">
        <is>
          <t>泉港区</t>
        </is>
      </c>
      <c r="D69" s="24" t="inlineStr">
        <is>
          <t>泉二路东盛商城5栋602-702号房产</t>
        </is>
      </c>
      <c r="E69" s="24" t="inlineStr">
        <is>
          <t>东盛商城</t>
        </is>
      </c>
      <c r="F69" s="24" t="inlineStr">
        <is>
          <t>工业</t>
        </is>
      </c>
      <c r="G69" s="24" t="inlineStr">
        <is>
          <t>京东拍卖</t>
        </is>
      </c>
      <c r="H69" s="24" t="inlineStr">
        <is>
          <t>一拍</t>
        </is>
      </c>
      <c r="I69" s="50" t="n">
        <v>43103.41666666666</v>
      </c>
      <c r="J69" s="24" t="inlineStr">
        <is>
          <t>否</t>
        </is>
      </c>
      <c r="K69" s="24" t="inlineStr">
        <is>
          <t>四川省成都市中级人民法院</t>
        </is>
      </c>
      <c r="L69" s="51" t="n">
        <v>200.81</v>
      </c>
      <c r="M69" s="52">
        <f>IF(AND(ISNUMBER(N69),ISNUMBER(L69),L69&gt;0),ROUND(N69/L69,2),"")</f>
        <v/>
      </c>
      <c r="N69" s="53" t="n">
        <v>330000</v>
      </c>
      <c r="O69" s="53" t="n">
        <v>458900</v>
      </c>
      <c r="P69" s="54">
        <f>IF(AND(ISNUMBER(N69),ISNUMBER(O69),O69&gt;0),N69/O69,"")</f>
        <v/>
      </c>
      <c r="Q69" s="61" t="n">
        <v>0</v>
      </c>
      <c r="R69" s="61" t="n">
        <v>0</v>
      </c>
      <c r="S69" s="24" t="inlineStr">
        <is>
          <t>40</t>
        </is>
      </c>
      <c r="T69" s="24" t="inlineStr">
        <is>
          <t>https://paimai.jd.com/104482998</t>
        </is>
      </c>
    </row>
    <row r="70">
      <c r="A70" s="24" t="inlineStr">
        <is>
          <t>福建省</t>
        </is>
      </c>
      <c r="B70" s="24" t="inlineStr">
        <is>
          <t>泉州市</t>
        </is>
      </c>
      <c r="C70" s="24" t="inlineStr">
        <is>
          <t>泉港区</t>
        </is>
      </c>
      <c r="D70" s="24" t="inlineStr">
        <is>
          <t>泉二路东盛商城5栋603-703号房产</t>
        </is>
      </c>
      <c r="E70" s="24" t="inlineStr">
        <is>
          <t>东盛商城</t>
        </is>
      </c>
      <c r="F70" s="24" t="inlineStr">
        <is>
          <t>工业</t>
        </is>
      </c>
      <c r="G70" s="24" t="inlineStr">
        <is>
          <t>京东拍卖</t>
        </is>
      </c>
      <c r="H70" s="24" t="inlineStr">
        <is>
          <t>一拍</t>
        </is>
      </c>
      <c r="I70" s="50" t="n">
        <v>43103.41666666666</v>
      </c>
      <c r="J70" s="24" t="inlineStr">
        <is>
          <t>否</t>
        </is>
      </c>
      <c r="K70" s="24" t="inlineStr">
        <is>
          <t>四川省成都市中级人民法院</t>
        </is>
      </c>
      <c r="L70" s="51" t="n">
        <v>200.81</v>
      </c>
      <c r="M70" s="52">
        <f>IF(AND(ISNUMBER(N70),ISNUMBER(L70),L70&gt;0),ROUND(N70/L70,2),"")</f>
        <v/>
      </c>
      <c r="N70" s="53" t="n">
        <v>330000</v>
      </c>
      <c r="O70" s="53" t="n">
        <v>458900</v>
      </c>
      <c r="P70" s="54">
        <f>IF(AND(ISNUMBER(N70),ISNUMBER(O70),O70&gt;0),N70/O70,"")</f>
        <v/>
      </c>
      <c r="Q70" s="61" t="n">
        <v>0</v>
      </c>
      <c r="R70" s="61" t="n">
        <v>0</v>
      </c>
      <c r="S70" s="24" t="inlineStr">
        <is>
          <t>40</t>
        </is>
      </c>
      <c r="T70" s="24" t="inlineStr">
        <is>
          <t>https://paimai.jd.com/104482999</t>
        </is>
      </c>
    </row>
    <row r="71">
      <c r="A71" s="24" t="inlineStr">
        <is>
          <t>福建省</t>
        </is>
      </c>
      <c r="B71" s="24" t="inlineStr">
        <is>
          <t>泉州市</t>
        </is>
      </c>
      <c r="C71" s="24" t="inlineStr">
        <is>
          <t>泉港区</t>
        </is>
      </c>
      <c r="D71" s="24" t="inlineStr">
        <is>
          <t>泉二路东盛商城3栋604-704号房产</t>
        </is>
      </c>
      <c r="E71" s="24" t="inlineStr">
        <is>
          <t>东盛商城</t>
        </is>
      </c>
      <c r="F71" s="24" t="inlineStr">
        <is>
          <t>工业</t>
        </is>
      </c>
      <c r="G71" s="24" t="inlineStr">
        <is>
          <t>京东拍卖</t>
        </is>
      </c>
      <c r="H71" s="24" t="inlineStr">
        <is>
          <t>一拍</t>
        </is>
      </c>
      <c r="I71" s="50" t="n">
        <v>43103.41666666666</v>
      </c>
      <c r="J71" s="24" t="inlineStr">
        <is>
          <t>否</t>
        </is>
      </c>
      <c r="K71" s="24" t="inlineStr">
        <is>
          <t>四川省成都市中级人民法院</t>
        </is>
      </c>
      <c r="L71" s="51" t="n">
        <v>207.85</v>
      </c>
      <c r="M71" s="52">
        <f>IF(AND(ISNUMBER(N71),ISNUMBER(L71),L71&gt;0),ROUND(N71/L71,2),"")</f>
        <v/>
      </c>
      <c r="N71" s="53" t="n">
        <v>340000</v>
      </c>
      <c r="O71" s="53" t="n">
        <v>474900</v>
      </c>
      <c r="P71" s="54">
        <f>IF(AND(ISNUMBER(N71),ISNUMBER(O71),O71&gt;0),N71/O71,"")</f>
        <v/>
      </c>
      <c r="Q71" s="61" t="n">
        <v>0</v>
      </c>
      <c r="R71" s="61" t="n">
        <v>0</v>
      </c>
      <c r="S71" s="24" t="inlineStr">
        <is>
          <t>40</t>
        </is>
      </c>
      <c r="T71" s="24" t="inlineStr">
        <is>
          <t>https://paimai.jd.com/104483000</t>
        </is>
      </c>
    </row>
    <row r="72">
      <c r="A72" s="24" t="inlineStr">
        <is>
          <t>福建省</t>
        </is>
      </c>
      <c r="B72" s="24" t="inlineStr">
        <is>
          <t>泉州市</t>
        </is>
      </c>
      <c r="C72" s="24" t="inlineStr">
        <is>
          <t>泉港区</t>
        </is>
      </c>
      <c r="D72" s="24" t="inlineStr">
        <is>
          <t>泉二路东盛商城1栋608号房产</t>
        </is>
      </c>
      <c r="E72" s="24" t="inlineStr">
        <is>
          <t>东盛商城</t>
        </is>
      </c>
      <c r="F72" s="24" t="inlineStr">
        <is>
          <t>工业</t>
        </is>
      </c>
      <c r="G72" s="24" t="inlineStr">
        <is>
          <t>京东拍卖</t>
        </is>
      </c>
      <c r="H72" s="24" t="inlineStr">
        <is>
          <t>一拍</t>
        </is>
      </c>
      <c r="I72" s="50" t="n">
        <v>43103.41666666666</v>
      </c>
      <c r="J72" s="24" t="inlineStr">
        <is>
          <t>否</t>
        </is>
      </c>
      <c r="K72" s="24" t="inlineStr">
        <is>
          <t>四川省成都市中级人民法院</t>
        </is>
      </c>
      <c r="L72" s="51" t="n">
        <v>174.16</v>
      </c>
      <c r="M72" s="52">
        <f>IF(AND(ISNUMBER(N72),ISNUMBER(L72),L72&gt;0),ROUND(N72/L72,2),"")</f>
        <v/>
      </c>
      <c r="N72" s="53" t="n">
        <v>280000</v>
      </c>
      <c r="O72" s="53" t="n">
        <v>392900</v>
      </c>
      <c r="P72" s="54">
        <f>IF(AND(ISNUMBER(N72),ISNUMBER(O72),O72&gt;0),N72/O72,"")</f>
        <v/>
      </c>
      <c r="Q72" s="61" t="n">
        <v>0</v>
      </c>
      <c r="R72" s="61" t="n">
        <v>1</v>
      </c>
      <c r="S72" s="24" t="inlineStr">
        <is>
          <t>40</t>
        </is>
      </c>
      <c r="T72" s="24" t="inlineStr">
        <is>
          <t>https://paimai.jd.com/104483001</t>
        </is>
      </c>
    </row>
    <row r="73">
      <c r="A73" s="24" t="inlineStr">
        <is>
          <t>福建省</t>
        </is>
      </c>
      <c r="B73" s="24" t="inlineStr">
        <is>
          <t>泉州市</t>
        </is>
      </c>
      <c r="C73" s="24" t="inlineStr">
        <is>
          <t>泉港区</t>
        </is>
      </c>
      <c r="D73" s="24" t="inlineStr">
        <is>
          <t>泉二路东盛商城18栋604-704号房产</t>
        </is>
      </c>
      <c r="E73" s="24" t="inlineStr">
        <is>
          <t>东盛商城</t>
        </is>
      </c>
      <c r="F73" s="24" t="inlineStr">
        <is>
          <t>工业</t>
        </is>
      </c>
      <c r="G73" s="24" t="inlineStr">
        <is>
          <t>京东拍卖</t>
        </is>
      </c>
      <c r="H73" s="24" t="inlineStr">
        <is>
          <t>一拍</t>
        </is>
      </c>
      <c r="I73" s="50" t="n">
        <v>43103.41666666666</v>
      </c>
      <c r="J73" s="24" t="inlineStr">
        <is>
          <t>否</t>
        </is>
      </c>
      <c r="K73" s="24" t="inlineStr">
        <is>
          <t>四川省成都市中级人民法院</t>
        </is>
      </c>
      <c r="L73" s="51" t="n">
        <v>200.32</v>
      </c>
      <c r="M73" s="52">
        <f>IF(AND(ISNUMBER(N73),ISNUMBER(L73),L73&gt;0),ROUND(N73/L73,2),"")</f>
        <v/>
      </c>
      <c r="N73" s="53" t="n">
        <v>320000</v>
      </c>
      <c r="O73" s="53" t="n">
        <v>451900</v>
      </c>
      <c r="P73" s="54">
        <f>IF(AND(ISNUMBER(N73),ISNUMBER(O73),O73&gt;0),N73/O73,"")</f>
        <v/>
      </c>
      <c r="Q73" s="61" t="n">
        <v>0</v>
      </c>
      <c r="R73" s="61" t="n">
        <v>0</v>
      </c>
      <c r="S73" s="24" t="inlineStr">
        <is>
          <t>40</t>
        </is>
      </c>
      <c r="T73" s="24" t="inlineStr">
        <is>
          <t>https://paimai.jd.com/104483002</t>
        </is>
      </c>
    </row>
    <row r="74">
      <c r="A74" s="24" t="inlineStr">
        <is>
          <t>福建省</t>
        </is>
      </c>
      <c r="B74" s="24" t="inlineStr">
        <is>
          <t>泉州市</t>
        </is>
      </c>
      <c r="C74" s="24" t="inlineStr">
        <is>
          <t>泉港区</t>
        </is>
      </c>
      <c r="D74" s="24" t="inlineStr">
        <is>
          <t>泉二路东盛商城2栋603-703号房产</t>
        </is>
      </c>
      <c r="E74" s="24" t="inlineStr">
        <is>
          <t>东盛商城</t>
        </is>
      </c>
      <c r="F74" s="24" t="inlineStr">
        <is>
          <t>工业</t>
        </is>
      </c>
      <c r="G74" s="24" t="inlineStr">
        <is>
          <t>京东拍卖</t>
        </is>
      </c>
      <c r="H74" s="24" t="inlineStr">
        <is>
          <t>一拍</t>
        </is>
      </c>
      <c r="I74" s="50" t="n">
        <v>43103.41666666666</v>
      </c>
      <c r="J74" s="24" t="inlineStr">
        <is>
          <t>否</t>
        </is>
      </c>
      <c r="K74" s="24" t="inlineStr">
        <is>
          <t>四川省成都市中级人民法院</t>
        </is>
      </c>
      <c r="L74" s="51" t="n">
        <v>200.36</v>
      </c>
      <c r="M74" s="52">
        <f>IF(AND(ISNUMBER(N74),ISNUMBER(L74),L74&gt;0),ROUND(N74/L74,2),"")</f>
        <v/>
      </c>
      <c r="N74" s="53" t="n">
        <v>330000</v>
      </c>
      <c r="O74" s="53" t="n">
        <v>457800</v>
      </c>
      <c r="P74" s="54">
        <f>IF(AND(ISNUMBER(N74),ISNUMBER(O74),O74&gt;0),N74/O74,"")</f>
        <v/>
      </c>
      <c r="Q74" s="61" t="n">
        <v>0</v>
      </c>
      <c r="R74" s="61" t="n">
        <v>0</v>
      </c>
      <c r="S74" s="24" t="inlineStr">
        <is>
          <t>40</t>
        </is>
      </c>
      <c r="T74" s="24" t="inlineStr">
        <is>
          <t>https://paimai.jd.com/104483003</t>
        </is>
      </c>
    </row>
    <row r="75">
      <c r="A75" s="24" t="inlineStr">
        <is>
          <t>福建省</t>
        </is>
      </c>
      <c r="B75" s="24" t="inlineStr">
        <is>
          <t>泉州市</t>
        </is>
      </c>
      <c r="C75" s="24" t="inlineStr">
        <is>
          <t>泉港区</t>
        </is>
      </c>
      <c r="D75" s="24" t="inlineStr">
        <is>
          <t>泉二路东盛商城2栋605-705号房产</t>
        </is>
      </c>
      <c r="E75" s="24" t="inlineStr">
        <is>
          <t>东盛商城</t>
        </is>
      </c>
      <c r="F75" s="24" t="inlineStr">
        <is>
          <t>工业</t>
        </is>
      </c>
      <c r="G75" s="24" t="inlineStr">
        <is>
          <t>京东拍卖</t>
        </is>
      </c>
      <c r="H75" s="24" t="inlineStr">
        <is>
          <t>一拍</t>
        </is>
      </c>
      <c r="I75" s="50" t="n">
        <v>43103.41666666666</v>
      </c>
      <c r="J75" s="24" t="inlineStr">
        <is>
          <t>否</t>
        </is>
      </c>
      <c r="K75" s="24" t="inlineStr">
        <is>
          <t>四川省成都市中级人民法院</t>
        </is>
      </c>
      <c r="L75" s="51" t="n">
        <v>200.36</v>
      </c>
      <c r="M75" s="52">
        <f>IF(AND(ISNUMBER(N75),ISNUMBER(L75),L75&gt;0),ROUND(N75/L75,2),"")</f>
        <v/>
      </c>
      <c r="N75" s="53" t="n">
        <v>330000</v>
      </c>
      <c r="O75" s="53" t="n">
        <v>457800</v>
      </c>
      <c r="P75" s="54">
        <f>IF(AND(ISNUMBER(N75),ISNUMBER(O75),O75&gt;0),N75/O75,"")</f>
        <v/>
      </c>
      <c r="Q75" s="61" t="n">
        <v>0</v>
      </c>
      <c r="R75" s="61" t="n">
        <v>0</v>
      </c>
      <c r="S75" s="24" t="inlineStr">
        <is>
          <t>40</t>
        </is>
      </c>
      <c r="T75" s="24" t="inlineStr">
        <is>
          <t>https://paimai.jd.com/104483004</t>
        </is>
      </c>
    </row>
    <row r="76">
      <c r="A76" s="24" t="inlineStr">
        <is>
          <t>福建省</t>
        </is>
      </c>
      <c r="B76" s="24" t="inlineStr">
        <is>
          <t>泉州市</t>
        </is>
      </c>
      <c r="C76" s="24" t="inlineStr">
        <is>
          <t>泉港区</t>
        </is>
      </c>
      <c r="D76" s="24" t="inlineStr">
        <is>
          <t>泉二路东盛商城2栋601-701号房产</t>
        </is>
      </c>
      <c r="E76" s="24" t="inlineStr">
        <is>
          <t>东盛商城</t>
        </is>
      </c>
      <c r="F76" s="24" t="inlineStr">
        <is>
          <t>工业</t>
        </is>
      </c>
      <c r="G76" s="24" t="inlineStr">
        <is>
          <t>京东拍卖</t>
        </is>
      </c>
      <c r="H76" s="24" t="inlineStr">
        <is>
          <t>一拍</t>
        </is>
      </c>
      <c r="I76" s="50" t="n">
        <v>43103.41666666666</v>
      </c>
      <c r="J76" s="24" t="inlineStr">
        <is>
          <t>否</t>
        </is>
      </c>
      <c r="K76" s="24" t="inlineStr">
        <is>
          <t>四川省成都市中级人民法院</t>
        </is>
      </c>
      <c r="L76" s="51" t="n">
        <v>205.67</v>
      </c>
      <c r="M76" s="52">
        <f>IF(AND(ISNUMBER(N76),ISNUMBER(L76),L76&gt;0),ROUND(N76/L76,2),"")</f>
        <v/>
      </c>
      <c r="N76" s="53" t="n">
        <v>330000</v>
      </c>
      <c r="O76" s="53" t="n">
        <v>470000</v>
      </c>
      <c r="P76" s="54">
        <f>IF(AND(ISNUMBER(N76),ISNUMBER(O76),O76&gt;0),N76/O76,"")</f>
        <v/>
      </c>
      <c r="Q76" s="61" t="n">
        <v>0</v>
      </c>
      <c r="R76" s="61" t="n">
        <v>0</v>
      </c>
      <c r="S76" s="24" t="inlineStr">
        <is>
          <t>40</t>
        </is>
      </c>
      <c r="T76" s="24" t="inlineStr">
        <is>
          <t>https://paimai.jd.com/104483005</t>
        </is>
      </c>
    </row>
    <row r="77">
      <c r="A77" s="24" t="inlineStr">
        <is>
          <t>福建省</t>
        </is>
      </c>
      <c r="B77" s="24" t="inlineStr">
        <is>
          <t>泉州市</t>
        </is>
      </c>
      <c r="C77" s="24" t="inlineStr">
        <is>
          <t>泉港区</t>
        </is>
      </c>
      <c r="D77" s="24" t="inlineStr">
        <is>
          <t>泉二路东盛商城16栋603-703号房产</t>
        </is>
      </c>
      <c r="E77" s="24" t="inlineStr">
        <is>
          <t>东盛商城</t>
        </is>
      </c>
      <c r="F77" s="24" t="inlineStr">
        <is>
          <t>工业</t>
        </is>
      </c>
      <c r="G77" s="24" t="inlineStr">
        <is>
          <t>京东拍卖</t>
        </is>
      </c>
      <c r="H77" s="24" t="inlineStr">
        <is>
          <t>一拍</t>
        </is>
      </c>
      <c r="I77" s="50" t="n">
        <v>43103.41666666666</v>
      </c>
      <c r="J77" s="24" t="inlineStr">
        <is>
          <t>否</t>
        </is>
      </c>
      <c r="K77" s="24" t="inlineStr">
        <is>
          <t>四川省成都市中级人民法院</t>
        </is>
      </c>
      <c r="L77" s="51" t="n">
        <v>200.78</v>
      </c>
      <c r="M77" s="52">
        <f>IF(AND(ISNUMBER(N77),ISNUMBER(L77),L77&gt;0),ROUND(N77/L77,2),"")</f>
        <v/>
      </c>
      <c r="N77" s="53" t="n">
        <v>330000</v>
      </c>
      <c r="O77" s="53" t="n">
        <v>458800</v>
      </c>
      <c r="P77" s="54">
        <f>IF(AND(ISNUMBER(N77),ISNUMBER(O77),O77&gt;0),N77/O77,"")</f>
        <v/>
      </c>
      <c r="Q77" s="61" t="n">
        <v>0</v>
      </c>
      <c r="R77" s="61" t="n">
        <v>0</v>
      </c>
      <c r="S77" s="24" t="inlineStr">
        <is>
          <t>40</t>
        </is>
      </c>
      <c r="T77" s="24" t="inlineStr">
        <is>
          <t>https://paimai.jd.com/104483007</t>
        </is>
      </c>
    </row>
    <row r="78">
      <c r="A78" s="24" t="inlineStr">
        <is>
          <t>福建省</t>
        </is>
      </c>
      <c r="B78" s="24" t="inlineStr">
        <is>
          <t>泉州市</t>
        </is>
      </c>
      <c r="C78" s="24" t="inlineStr">
        <is>
          <t>泉港区</t>
        </is>
      </c>
      <c r="D78" s="24" t="inlineStr">
        <is>
          <t>泉二路东盛商城19栋604号房产</t>
        </is>
      </c>
      <c r="E78" s="24" t="inlineStr">
        <is>
          <t>东盛商城</t>
        </is>
      </c>
      <c r="F78" s="24" t="inlineStr">
        <is>
          <t>工业</t>
        </is>
      </c>
      <c r="G78" s="24" t="inlineStr">
        <is>
          <t>京东拍卖</t>
        </is>
      </c>
      <c r="H78" s="24" t="inlineStr">
        <is>
          <t>一拍</t>
        </is>
      </c>
      <c r="I78" s="50" t="n">
        <v>43103.41666666666</v>
      </c>
      <c r="J78" s="24" t="inlineStr">
        <is>
          <t>否</t>
        </is>
      </c>
      <c r="K78" s="24" t="inlineStr">
        <is>
          <t>四川省成都市中级人民法院</t>
        </is>
      </c>
      <c r="L78" s="51" t="n">
        <v>185.53</v>
      </c>
      <c r="M78" s="52">
        <f>IF(AND(ISNUMBER(N78),ISNUMBER(L78),L78&gt;0),ROUND(N78/L78,2),"")</f>
        <v/>
      </c>
      <c r="N78" s="53" t="n">
        <v>300000</v>
      </c>
      <c r="O78" s="53" t="n">
        <v>418600</v>
      </c>
      <c r="P78" s="54">
        <f>IF(AND(ISNUMBER(N78),ISNUMBER(O78),O78&gt;0),N78/O78,"")</f>
        <v/>
      </c>
      <c r="Q78" s="61" t="n">
        <v>0</v>
      </c>
      <c r="R78" s="61" t="n">
        <v>0</v>
      </c>
      <c r="S78" s="24" t="inlineStr">
        <is>
          <t>40</t>
        </is>
      </c>
      <c r="T78" s="24" t="inlineStr">
        <is>
          <t>https://paimai.jd.com/104483008</t>
        </is>
      </c>
    </row>
    <row r="79">
      <c r="A79" s="24" t="inlineStr">
        <is>
          <t>福建省</t>
        </is>
      </c>
      <c r="B79" s="24" t="inlineStr">
        <is>
          <t>泉州市</t>
        </is>
      </c>
      <c r="C79" s="24" t="inlineStr">
        <is>
          <t>泉港区</t>
        </is>
      </c>
      <c r="D79" s="24" t="inlineStr">
        <is>
          <t>泉二路东盛商城18栋605-705号房产</t>
        </is>
      </c>
      <c r="E79" s="24" t="inlineStr">
        <is>
          <t>东盛商城</t>
        </is>
      </c>
      <c r="F79" s="24" t="inlineStr">
        <is>
          <t>工业</t>
        </is>
      </c>
      <c r="G79" s="24" t="inlineStr">
        <is>
          <t>京东拍卖</t>
        </is>
      </c>
      <c r="H79" s="24" t="inlineStr">
        <is>
          <t>一拍</t>
        </is>
      </c>
      <c r="I79" s="50" t="n">
        <v>43103.41666666666</v>
      </c>
      <c r="J79" s="24" t="inlineStr">
        <is>
          <t>否</t>
        </is>
      </c>
      <c r="K79" s="24" t="inlineStr">
        <is>
          <t>四川省成都市中级人民法院</t>
        </is>
      </c>
      <c r="L79" s="51" t="n">
        <v>200.32</v>
      </c>
      <c r="M79" s="52">
        <f>IF(AND(ISNUMBER(N79),ISNUMBER(L79),L79&gt;0),ROUND(N79/L79,2),"")</f>
        <v/>
      </c>
      <c r="N79" s="53" t="n">
        <v>320000</v>
      </c>
      <c r="O79" s="53" t="n">
        <v>451900</v>
      </c>
      <c r="P79" s="54">
        <f>IF(AND(ISNUMBER(N79),ISNUMBER(O79),O79&gt;0),N79/O79,"")</f>
        <v/>
      </c>
      <c r="Q79" s="61" t="n">
        <v>0</v>
      </c>
      <c r="R79" s="61" t="n">
        <v>0</v>
      </c>
      <c r="S79" s="24" t="inlineStr">
        <is>
          <t>40</t>
        </is>
      </c>
      <c r="T79" s="24" t="inlineStr">
        <is>
          <t>https://paimai.jd.com/104483009</t>
        </is>
      </c>
    </row>
    <row r="80">
      <c r="A80" s="24" t="inlineStr">
        <is>
          <t>福建省</t>
        </is>
      </c>
      <c r="B80" s="24" t="inlineStr">
        <is>
          <t>泉州市</t>
        </is>
      </c>
      <c r="C80" s="24" t="inlineStr">
        <is>
          <t>泉港区</t>
        </is>
      </c>
      <c r="D80" s="24" t="inlineStr">
        <is>
          <t>泉二路东盛商城4B栋603-703号房产</t>
        </is>
      </c>
      <c r="E80" s="24" t="inlineStr">
        <is>
          <t>东盛商城</t>
        </is>
      </c>
      <c r="F80" s="24" t="inlineStr">
        <is>
          <t>工业</t>
        </is>
      </c>
      <c r="G80" s="24" t="inlineStr">
        <is>
          <t>京东拍卖</t>
        </is>
      </c>
      <c r="H80" s="24" t="inlineStr">
        <is>
          <t>一拍</t>
        </is>
      </c>
      <c r="I80" s="50" t="n">
        <v>43103.41666666666</v>
      </c>
      <c r="J80" s="24" t="inlineStr">
        <is>
          <t>否</t>
        </is>
      </c>
      <c r="K80" s="24" t="inlineStr">
        <is>
          <t>四川省成都市中级人民法院</t>
        </is>
      </c>
      <c r="L80" s="51" t="n">
        <v>201.79</v>
      </c>
      <c r="M80" s="52">
        <f>IF(AND(ISNUMBER(N80),ISNUMBER(L80),L80&gt;0),ROUND(N80/L80,2),"")</f>
        <v/>
      </c>
      <c r="N80" s="53" t="n">
        <v>330000</v>
      </c>
      <c r="O80" s="53" t="n">
        <v>461100</v>
      </c>
      <c r="P80" s="54">
        <f>IF(AND(ISNUMBER(N80),ISNUMBER(O80),O80&gt;0),N80/O80,"")</f>
        <v/>
      </c>
      <c r="Q80" s="61" t="n">
        <v>0</v>
      </c>
      <c r="R80" s="61" t="n">
        <v>0</v>
      </c>
      <c r="S80" s="24" t="inlineStr">
        <is>
          <t>40</t>
        </is>
      </c>
      <c r="T80" s="24" t="inlineStr">
        <is>
          <t>https://paimai.jd.com/104483010</t>
        </is>
      </c>
    </row>
    <row r="81">
      <c r="A81" s="24" t="inlineStr">
        <is>
          <t>福建省</t>
        </is>
      </c>
      <c r="B81" s="24" t="inlineStr">
        <is>
          <t>泉州市</t>
        </is>
      </c>
      <c r="C81" s="24" t="inlineStr">
        <is>
          <t>泉港区</t>
        </is>
      </c>
      <c r="D81" s="24" t="inlineStr">
        <is>
          <t>泉二路东盛商城5栋601-701号房产</t>
        </is>
      </c>
      <c r="E81" s="24" t="inlineStr">
        <is>
          <t>东盛商城</t>
        </is>
      </c>
      <c r="F81" s="24" t="inlineStr">
        <is>
          <t>工业</t>
        </is>
      </c>
      <c r="G81" s="24" t="inlineStr">
        <is>
          <t>京东拍卖</t>
        </is>
      </c>
      <c r="H81" s="24" t="inlineStr">
        <is>
          <t>一拍</t>
        </is>
      </c>
      <c r="I81" s="50" t="n">
        <v>43103.41666666666</v>
      </c>
      <c r="J81" s="24" t="inlineStr">
        <is>
          <t>否</t>
        </is>
      </c>
      <c r="K81" s="24" t="inlineStr">
        <is>
          <t>四川省成都市中级人民法院</t>
        </is>
      </c>
      <c r="L81" s="51" t="n">
        <v>201</v>
      </c>
      <c r="M81" s="52">
        <f>IF(AND(ISNUMBER(N81),ISNUMBER(L81),L81&gt;0),ROUND(N81/L81,2),"")</f>
        <v/>
      </c>
      <c r="N81" s="53" t="n">
        <v>330000</v>
      </c>
      <c r="O81" s="53" t="n">
        <v>459300</v>
      </c>
      <c r="P81" s="54">
        <f>IF(AND(ISNUMBER(N81),ISNUMBER(O81),O81&gt;0),N81/O81,"")</f>
        <v/>
      </c>
      <c r="Q81" s="61" t="n">
        <v>0</v>
      </c>
      <c r="R81" s="61" t="n">
        <v>1</v>
      </c>
      <c r="S81" s="24" t="inlineStr">
        <is>
          <t>40</t>
        </is>
      </c>
      <c r="T81" s="24" t="inlineStr">
        <is>
          <t>https://paimai.jd.com/104483011</t>
        </is>
      </c>
    </row>
    <row r="82">
      <c r="A82" s="24" t="inlineStr">
        <is>
          <t>福建省</t>
        </is>
      </c>
      <c r="B82" s="24" t="inlineStr">
        <is>
          <t>泉州市</t>
        </is>
      </c>
      <c r="C82" s="24" t="inlineStr">
        <is>
          <t>泉港区</t>
        </is>
      </c>
      <c r="D82" s="24" t="inlineStr">
        <is>
          <t>泉二路东盛商城3栋601-701号房产</t>
        </is>
      </c>
      <c r="E82" s="24" t="inlineStr">
        <is>
          <t>东盛商城</t>
        </is>
      </c>
      <c r="F82" s="24" t="inlineStr">
        <is>
          <t>工业</t>
        </is>
      </c>
      <c r="G82" s="24" t="inlineStr">
        <is>
          <t>京东拍卖</t>
        </is>
      </c>
      <c r="H82" s="24" t="inlineStr">
        <is>
          <t>一拍</t>
        </is>
      </c>
      <c r="I82" s="50" t="n">
        <v>43103.41666666666</v>
      </c>
      <c r="J82" s="24" t="inlineStr">
        <is>
          <t>否</t>
        </is>
      </c>
      <c r="K82" s="24" t="inlineStr">
        <is>
          <t>四川省成都市中级人民法院</t>
        </is>
      </c>
      <c r="L82" s="51" t="n">
        <v>200.99</v>
      </c>
      <c r="M82" s="52">
        <f>IF(AND(ISNUMBER(N82),ISNUMBER(L82),L82&gt;0),ROUND(N82/L82,2),"")</f>
        <v/>
      </c>
      <c r="N82" s="53" t="n">
        <v>330000</v>
      </c>
      <c r="O82" s="53" t="n">
        <v>459300</v>
      </c>
      <c r="P82" s="54">
        <f>IF(AND(ISNUMBER(N82),ISNUMBER(O82),O82&gt;0),N82/O82,"")</f>
        <v/>
      </c>
      <c r="Q82" s="61" t="n">
        <v>0</v>
      </c>
      <c r="R82" s="61" t="n">
        <v>0</v>
      </c>
      <c r="S82" s="24" t="inlineStr">
        <is>
          <t>40</t>
        </is>
      </c>
      <c r="T82" s="24" t="inlineStr">
        <is>
          <t>https://paimai.jd.com/104483012</t>
        </is>
      </c>
    </row>
    <row r="83">
      <c r="A83" s="24" t="inlineStr">
        <is>
          <t>福建省</t>
        </is>
      </c>
      <c r="B83" s="24" t="inlineStr">
        <is>
          <t>泉州市</t>
        </is>
      </c>
      <c r="C83" s="24" t="inlineStr">
        <is>
          <t>泉港区</t>
        </is>
      </c>
      <c r="D83" s="24" t="inlineStr">
        <is>
          <t>泉二路东盛商城1栋612号房产</t>
        </is>
      </c>
      <c r="E83" s="24" t="inlineStr">
        <is>
          <t>东盛商城</t>
        </is>
      </c>
      <c r="F83" s="24" t="inlineStr">
        <is>
          <t>工业</t>
        </is>
      </c>
      <c r="G83" s="24" t="inlineStr">
        <is>
          <t>京东拍卖</t>
        </is>
      </c>
      <c r="H83" s="24" t="inlineStr">
        <is>
          <t>一拍</t>
        </is>
      </c>
      <c r="I83" s="50" t="n">
        <v>43103.41666666666</v>
      </c>
      <c r="J83" s="24" t="inlineStr">
        <is>
          <t>否</t>
        </is>
      </c>
      <c r="K83" s="24" t="inlineStr">
        <is>
          <t>四川省成都市中级人民法院</t>
        </is>
      </c>
      <c r="L83" s="51" t="n">
        <v>173.71</v>
      </c>
      <c r="M83" s="52">
        <f>IF(AND(ISNUMBER(N83),ISNUMBER(L83),L83&gt;0),ROUND(N83/L83,2),"")</f>
        <v/>
      </c>
      <c r="N83" s="53" t="n">
        <v>280000</v>
      </c>
      <c r="O83" s="53" t="n">
        <v>391900</v>
      </c>
      <c r="P83" s="54">
        <f>IF(AND(ISNUMBER(N83),ISNUMBER(O83),O83&gt;0),N83/O83,"")</f>
        <v/>
      </c>
      <c r="Q83" s="61" t="n">
        <v>0</v>
      </c>
      <c r="R83" s="61" t="n">
        <v>0</v>
      </c>
      <c r="S83" s="24" t="inlineStr">
        <is>
          <t>40</t>
        </is>
      </c>
      <c r="T83" s="24" t="inlineStr">
        <is>
          <t>https://paimai.jd.com/104483013</t>
        </is>
      </c>
    </row>
    <row r="84">
      <c r="A84" s="25" t="inlineStr">
        <is>
          <t>福建省</t>
        </is>
      </c>
      <c r="B84" s="25" t="inlineStr">
        <is>
          <t>泉州市</t>
        </is>
      </c>
      <c r="C84" s="25" t="inlineStr">
        <is>
          <t>泉港区</t>
        </is>
      </c>
      <c r="D84" s="25" t="inlineStr">
        <is>
          <t>泉二路东盛商城4B栋604-704号房产</t>
        </is>
      </c>
      <c r="E84" s="25" t="inlineStr">
        <is>
          <t>东盛商城</t>
        </is>
      </c>
      <c r="F84" s="25" t="inlineStr">
        <is>
          <t>工业</t>
        </is>
      </c>
      <c r="G84" s="25" t="inlineStr">
        <is>
          <t>京东拍卖</t>
        </is>
      </c>
      <c r="H84" s="25" t="inlineStr">
        <is>
          <t>一拍</t>
        </is>
      </c>
      <c r="I84" s="55" t="n">
        <v>43103.41666666666</v>
      </c>
      <c r="J84" s="25" t="inlineStr">
        <is>
          <t>否</t>
        </is>
      </c>
      <c r="K84" s="25" t="inlineStr">
        <is>
          <t>四川省成都市中级人民法院</t>
        </is>
      </c>
      <c r="L84" s="56" t="n">
        <v>201.96</v>
      </c>
      <c r="M84" s="57">
        <f>IF(AND(ISNUMBER(N84),ISNUMBER(L84),L84&gt;0),ROUND(N84/L84,2),"")</f>
        <v/>
      </c>
      <c r="N84" s="58" t="n">
        <v>330000</v>
      </c>
      <c r="O84" s="58" t="n">
        <v>461500</v>
      </c>
      <c r="P84" s="59">
        <f>IF(AND(ISNUMBER(N84),ISNUMBER(O84),O84&gt;0),N84/O84,"")</f>
        <v/>
      </c>
      <c r="Q84" s="62" t="n">
        <v>0</v>
      </c>
      <c r="R84" s="62" t="n">
        <v>0</v>
      </c>
      <c r="S84" s="25" t="inlineStr">
        <is>
          <t>40</t>
        </is>
      </c>
      <c r="T84" s="25" t="inlineStr">
        <is>
          <t>https://paimai.jd.com/104483014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2026-08-27T09:23:55Z</dcterms:created>
  <dcterms:modified xmlns:dcterms="http://purl.org/dc/terms/" xmlns:xsi="http://www.w3.org/2001/XMLSchema-instance" xsi:type="dcterms:W3CDTF">2026-08-27T10:30:54Z</dcterms:modified>
</cp:coreProperties>
</file>